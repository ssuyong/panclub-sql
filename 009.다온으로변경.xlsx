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_ssuyong\"/>
    </mc:Choice>
  </mc:AlternateContent>
  <xr:revisionPtr revIDLastSave="0" documentId="13_ncr:1_{13358B04-745C-4E07-8190-B58FB95513EA}" xr6:coauthVersionLast="45" xr6:coauthVersionMax="45" xr10:uidLastSave="{00000000-0000-0000-0000-000000000000}"/>
  <bookViews>
    <workbookView xWindow="-120" yWindow="-120" windowWidth="29040" windowHeight="15720" xr2:uid="{5C4BD74C-E232-4E13-8362-1315D4A60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6" i="1" l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46" i="1" l="1"/>
</calcChain>
</file>

<file path=xl/sharedStrings.xml><?xml version="1.0" encoding="utf-8"?>
<sst xmlns="http://schemas.openxmlformats.org/spreadsheetml/2006/main" count="488" uniqueCount="264">
  <si>
    <t>BMW</t>
    <phoneticPr fontId="2" type="noConversion"/>
  </si>
  <si>
    <t>51117181010</t>
    <phoneticPr fontId="2" type="noConversion"/>
  </si>
  <si>
    <t>안개등 그릴 안집</t>
  </si>
  <si>
    <t>A1-04-02-02-04</t>
  </si>
  <si>
    <t>BT</t>
    <phoneticPr fontId="2" type="noConversion"/>
  </si>
  <si>
    <t>3AE8394767Z7</t>
    <phoneticPr fontId="2" type="noConversion"/>
  </si>
  <si>
    <t>후 도어 눈썹몰딩 우</t>
  </si>
  <si>
    <t>A1-03-02-02-05</t>
    <phoneticPr fontId="2" type="noConversion"/>
  </si>
  <si>
    <t>CH</t>
    <phoneticPr fontId="2" type="noConversion"/>
  </si>
  <si>
    <t>68166065AA</t>
    <phoneticPr fontId="2" type="noConversion"/>
  </si>
  <si>
    <t>서포트,좌</t>
  </si>
  <si>
    <t>A1-03-02-02-04</t>
  </si>
  <si>
    <t>68144218AE</t>
    <phoneticPr fontId="2" type="noConversion"/>
  </si>
  <si>
    <t>전 범퍼 상단 브라켓 우</t>
  </si>
  <si>
    <t>A1-03-02-02-04</t>
    <phoneticPr fontId="2" type="noConversion"/>
  </si>
  <si>
    <t>68312507AA</t>
    <phoneticPr fontId="2" type="noConversion"/>
  </si>
  <si>
    <t>사이드 마커 좌</t>
  </si>
  <si>
    <t>A1-06-01-04-05</t>
    <phoneticPr fontId="2" type="noConversion"/>
  </si>
  <si>
    <t>68166064AA</t>
    <phoneticPr fontId="2" type="noConversion"/>
  </si>
  <si>
    <t>서포트 우</t>
  </si>
  <si>
    <t>A1-06-01-04-07</t>
  </si>
  <si>
    <t>57010401AD</t>
    <phoneticPr fontId="2" type="noConversion"/>
  </si>
  <si>
    <t>전 범퍼 브라켓 좌</t>
  </si>
  <si>
    <t>A1-07-01-02-01</t>
  </si>
  <si>
    <t>FORD</t>
    <phoneticPr fontId="2" type="noConversion"/>
  </si>
  <si>
    <t>FR3Z6320530A</t>
    <phoneticPr fontId="2" type="noConversion"/>
  </si>
  <si>
    <t>전도어우 둘레고무 안쪽</t>
  </si>
  <si>
    <t>A1-03-01-04-01</t>
  </si>
  <si>
    <t>F25136CAMA</t>
    <phoneticPr fontId="2" type="noConversion"/>
  </si>
  <si>
    <t>전판넬 서포트 좌</t>
  </si>
  <si>
    <t>AG1Z17E810BA</t>
    <phoneticPr fontId="2" type="noConversion"/>
  </si>
  <si>
    <t>안개등 그릴,우</t>
  </si>
  <si>
    <t>AG1Z5428167A</t>
    <phoneticPr fontId="2" type="noConversion"/>
  </si>
  <si>
    <t>뒤휀다 삼각몰딩,좌</t>
  </si>
  <si>
    <t>GM</t>
    <phoneticPr fontId="2" type="noConversion"/>
  </si>
  <si>
    <t>84173400</t>
    <phoneticPr fontId="2" type="noConversion"/>
  </si>
  <si>
    <t>A1-06-01-04-05</t>
  </si>
  <si>
    <t>42396481</t>
    <phoneticPr fontId="2" type="noConversion"/>
  </si>
  <si>
    <t>42396482</t>
    <phoneticPr fontId="2" type="noConversion"/>
  </si>
  <si>
    <t>84444372</t>
    <phoneticPr fontId="2" type="noConversion"/>
  </si>
  <si>
    <t>라지에이터 그릴 엠블렘 브라켓</t>
  </si>
  <si>
    <t>HONDA</t>
    <phoneticPr fontId="2" type="noConversion"/>
  </si>
  <si>
    <t>71140T2AA01</t>
    <phoneticPr fontId="2" type="noConversion"/>
  </si>
  <si>
    <t>헤드램프 하단 브라켓, 우</t>
  </si>
  <si>
    <t>A4 안집브라켓</t>
  </si>
  <si>
    <t>76251TVAA31ZG</t>
    <phoneticPr fontId="2" type="noConversion"/>
  </si>
  <si>
    <t>사이드미러 커버,좌</t>
  </si>
  <si>
    <t>A1-02-03-03-04</t>
  </si>
  <si>
    <t>72850TVAA02</t>
    <phoneticPr fontId="2" type="noConversion"/>
  </si>
  <si>
    <t>후 도어 둘레고무 좌</t>
  </si>
  <si>
    <t>A1-02-03-03-06</t>
  </si>
  <si>
    <t>72350TVAA01</t>
    <phoneticPr fontId="2" type="noConversion"/>
  </si>
  <si>
    <t>전 도어 둘레고무 좌</t>
  </si>
  <si>
    <t>71145T2AK00</t>
    <phoneticPr fontId="2" type="noConversion"/>
  </si>
  <si>
    <t>번호판 플레이트</t>
  </si>
  <si>
    <t>71190TLAA00</t>
    <phoneticPr fontId="2" type="noConversion"/>
  </si>
  <si>
    <t>헤드램프 브라켓 좌</t>
  </si>
  <si>
    <t>71110T3VA00</t>
    <phoneticPr fontId="2" type="noConversion"/>
  </si>
  <si>
    <t>전 범퍼 상단 스포일러</t>
  </si>
  <si>
    <t>72250TVAA01</t>
    <phoneticPr fontId="2" type="noConversion"/>
  </si>
  <si>
    <t>72150TVAA11</t>
    <phoneticPr fontId="2" type="noConversion"/>
  </si>
  <si>
    <t>LATCH ASSY-FRT DR LH POWER</t>
  </si>
  <si>
    <t>A1-03-01-04-02</t>
  </si>
  <si>
    <t>72810T0AA01</t>
    <phoneticPr fontId="2" type="noConversion"/>
  </si>
  <si>
    <t>뒷도어 둘레고무,우</t>
  </si>
  <si>
    <t>74157TVAA00</t>
    <phoneticPr fontId="2" type="noConversion"/>
  </si>
  <si>
    <t>전 휀다 상단커버 좌</t>
  </si>
  <si>
    <t>A1-03-02-03-04</t>
  </si>
  <si>
    <t>75474T7WA00</t>
    <phoneticPr fontId="2" type="noConversion"/>
  </si>
  <si>
    <t>후도어 삼각커버,좌</t>
  </si>
  <si>
    <t>71198TVAA01</t>
    <phoneticPr fontId="2" type="noConversion"/>
  </si>
  <si>
    <t>75895T7A003</t>
    <phoneticPr fontId="2" type="noConversion"/>
  </si>
  <si>
    <t>후도어 테이프 좌</t>
  </si>
  <si>
    <t>197015PAA00</t>
    <phoneticPr fontId="2" type="noConversion"/>
  </si>
  <si>
    <t>인터쿨러 브라켓,우</t>
  </si>
  <si>
    <t>A1-06-01-04-08</t>
  </si>
  <si>
    <t>71193TVAA01</t>
    <phoneticPr fontId="2" type="noConversion"/>
  </si>
  <si>
    <t>전 범퍼 브라켓 우</t>
  </si>
  <si>
    <t>LR</t>
    <phoneticPr fontId="2" type="noConversion"/>
  </si>
  <si>
    <t>T4A6235</t>
    <phoneticPr fontId="2" type="noConversion"/>
  </si>
  <si>
    <t>앞 범퍼 사이드브라켓 우</t>
  </si>
  <si>
    <t>A1-06-01-02-02</t>
  </si>
  <si>
    <t>T4N13778</t>
    <phoneticPr fontId="2" type="noConversion"/>
  </si>
  <si>
    <t>후 범퍼 브라켓 우</t>
  </si>
  <si>
    <t>LR077882</t>
    <phoneticPr fontId="2" type="noConversion"/>
  </si>
  <si>
    <t>LR077883</t>
    <phoneticPr fontId="2" type="noConversion"/>
  </si>
  <si>
    <t>T4A6236</t>
    <phoneticPr fontId="2" type="noConversion"/>
  </si>
  <si>
    <t>앞 범퍼 사이드브라켓 좌</t>
  </si>
  <si>
    <t>T4N5794</t>
    <phoneticPr fontId="2" type="noConversion"/>
  </si>
  <si>
    <t>T4N3013</t>
    <phoneticPr fontId="2" type="noConversion"/>
  </si>
  <si>
    <t>전 휀다 브라켓 우</t>
  </si>
  <si>
    <t>C2C37089</t>
    <phoneticPr fontId="2" type="noConversion"/>
  </si>
  <si>
    <t>우퍼들 램프</t>
  </si>
  <si>
    <t>MT</t>
    <phoneticPr fontId="2" type="noConversion"/>
  </si>
  <si>
    <t>670001706</t>
    <phoneticPr fontId="2" type="noConversion"/>
  </si>
  <si>
    <t>전방 우측 머드가드</t>
  </si>
  <si>
    <t>NISSAN</t>
    <phoneticPr fontId="2" type="noConversion"/>
  </si>
  <si>
    <t>6BA20TZZAB</t>
    <phoneticPr fontId="2" type="noConversion"/>
  </si>
  <si>
    <t>라지에이터 그릴</t>
  </si>
  <si>
    <t>A1-04-03-03-01</t>
    <phoneticPr fontId="2" type="noConversion"/>
  </si>
  <si>
    <t>828704EA0A</t>
    <phoneticPr fontId="2" type="noConversion"/>
  </si>
  <si>
    <t>후 도어 하단몰딩 우</t>
  </si>
  <si>
    <t>A1-02-03-03-04</t>
    <phoneticPr fontId="2" type="noConversion"/>
  </si>
  <si>
    <t>622231KA0A</t>
    <phoneticPr fontId="2" type="noConversion"/>
  </si>
  <si>
    <t>앞범퍼 사이드 브라켓 좌</t>
  </si>
  <si>
    <t>622203TA0A</t>
    <phoneticPr fontId="2" type="noConversion"/>
  </si>
  <si>
    <t>전 범퍼 사이드브라켓 우</t>
  </si>
  <si>
    <t>A1-06-01-04-06</t>
  </si>
  <si>
    <t>852254GA0A</t>
    <phoneticPr fontId="2" type="noConversion"/>
  </si>
  <si>
    <t>후 범퍼 브라켓 좌 - INNER</t>
  </si>
  <si>
    <t>620444GA0A</t>
    <phoneticPr fontId="2" type="noConversion"/>
  </si>
  <si>
    <t>전 휀더 브라켓 우</t>
  </si>
  <si>
    <t>620583TA0A</t>
    <phoneticPr fontId="2" type="noConversion"/>
  </si>
  <si>
    <t>전 범퍼 브라켓 우 - 안쪽</t>
  </si>
  <si>
    <t>622294GA0A</t>
    <phoneticPr fontId="2" type="noConversion"/>
  </si>
  <si>
    <t>전범퍼 안쪽브라켓 좌</t>
  </si>
  <si>
    <t>622213TA0A</t>
    <phoneticPr fontId="2" type="noConversion"/>
  </si>
  <si>
    <t>앞범퍼 사이드브라켓,좌</t>
  </si>
  <si>
    <t>PG</t>
    <phoneticPr fontId="2" type="noConversion"/>
  </si>
  <si>
    <t>7416S9</t>
    <phoneticPr fontId="2" type="noConversion"/>
  </si>
  <si>
    <t>전범퍼 사이드브라켓 세트</t>
  </si>
  <si>
    <t>A1-06-01-02-02</t>
    <phoneticPr fontId="2" type="noConversion"/>
  </si>
  <si>
    <t>1611903680</t>
    <phoneticPr fontId="2" type="noConversion"/>
  </si>
  <si>
    <t>뒷범퍼 사이드브라켓 우</t>
  </si>
  <si>
    <t>1611903180</t>
    <phoneticPr fontId="2" type="noConversion"/>
  </si>
  <si>
    <t>뒷범퍼 사이드브라켓 좌</t>
  </si>
  <si>
    <t>1668510780</t>
    <phoneticPr fontId="2" type="noConversion"/>
  </si>
  <si>
    <t>전 범퍼 브라켓 좌,우(세트)</t>
  </si>
  <si>
    <t>98258615XY</t>
    <phoneticPr fontId="2" type="noConversion"/>
  </si>
  <si>
    <t>전 휀더 몰딩 좌</t>
  </si>
  <si>
    <t>7416P9</t>
    <phoneticPr fontId="2" type="noConversion"/>
  </si>
  <si>
    <t>후 범퍼 사이드브라켓 셋트</t>
  </si>
  <si>
    <t>96732949XT</t>
    <phoneticPr fontId="2" type="noConversion"/>
  </si>
  <si>
    <t>안개등 카바 우</t>
  </si>
  <si>
    <t>98009970XT</t>
    <phoneticPr fontId="2" type="noConversion"/>
  </si>
  <si>
    <t>뒷 범퍼 스포일러</t>
  </si>
  <si>
    <t>7410LF</t>
    <phoneticPr fontId="2" type="noConversion"/>
  </si>
  <si>
    <t>RR SKIRT PANEL</t>
  </si>
  <si>
    <t>1611616780</t>
    <phoneticPr fontId="2" type="noConversion"/>
  </si>
  <si>
    <t>리어범퍼 브라켓</t>
  </si>
  <si>
    <t>9807800780</t>
    <phoneticPr fontId="2" type="noConversion"/>
  </si>
  <si>
    <t>뒷범퍼 브라켓 우</t>
  </si>
  <si>
    <t>PS</t>
    <phoneticPr fontId="2" type="noConversion"/>
  </si>
  <si>
    <t>PAB825235J</t>
    <phoneticPr fontId="2" type="noConversion"/>
  </si>
  <si>
    <t>9Y0807050F</t>
    <phoneticPr fontId="2" type="noConversion"/>
  </si>
  <si>
    <t>전범퍼 브라켓 우</t>
  </si>
  <si>
    <t>9Y0807049C</t>
    <phoneticPr fontId="2" type="noConversion"/>
  </si>
  <si>
    <t>GUIDE RAIL</t>
  </si>
  <si>
    <t>9Y0807050C</t>
    <phoneticPr fontId="2" type="noConversion"/>
  </si>
  <si>
    <t>982854945</t>
    <phoneticPr fontId="2" type="noConversion"/>
  </si>
  <si>
    <t>스트립3 좌 센터</t>
  </si>
  <si>
    <t>99150553600</t>
    <phoneticPr fontId="2" type="noConversion"/>
  </si>
  <si>
    <t>A1-06-01-04-06</t>
    <phoneticPr fontId="2" type="noConversion"/>
  </si>
  <si>
    <t>99150553500</t>
    <phoneticPr fontId="2" type="noConversion"/>
  </si>
  <si>
    <t>982854541</t>
    <phoneticPr fontId="2" type="noConversion"/>
  </si>
  <si>
    <t>스텝몰딩 전 브라켓 좌</t>
  </si>
  <si>
    <t>TOYOTA</t>
    <phoneticPr fontId="2" type="noConversion"/>
  </si>
  <si>
    <t>165710V080</t>
    <phoneticPr fontId="2" type="noConversion"/>
  </si>
  <si>
    <t>라바호스</t>
  </si>
  <si>
    <t>1659370011</t>
    <phoneticPr fontId="2" type="noConversion"/>
  </si>
  <si>
    <t>에어가이드 우</t>
  </si>
  <si>
    <t>5102333081</t>
    <phoneticPr fontId="2" type="noConversion"/>
  </si>
  <si>
    <t>멤버 브라켓 우</t>
  </si>
  <si>
    <t>5259207020</t>
    <phoneticPr fontId="2" type="noConversion"/>
  </si>
  <si>
    <t>SEAL, RR BUMPER</t>
  </si>
  <si>
    <t>5261147200</t>
    <phoneticPr fontId="2" type="noConversion"/>
  </si>
  <si>
    <t>전 범퍼 우레탄 상</t>
  </si>
  <si>
    <t>5310633010</t>
    <phoneticPr fontId="2" type="noConversion"/>
  </si>
  <si>
    <t>전 범퍼 하단몰딩 좌</t>
  </si>
  <si>
    <t>5315533060</t>
    <phoneticPr fontId="2" type="noConversion"/>
  </si>
  <si>
    <t>전 범퍼 상단고무(범퍼교환시)</t>
  </si>
  <si>
    <t>5325333010</t>
    <phoneticPr fontId="2" type="noConversion"/>
  </si>
  <si>
    <t>전 판넬 ㅅ바</t>
  </si>
  <si>
    <t>5339533030</t>
    <phoneticPr fontId="2" type="noConversion"/>
  </si>
  <si>
    <t>전 범퍼 상단고무</t>
  </si>
  <si>
    <t>A1-04-02-02-04</t>
    <phoneticPr fontId="2" type="noConversion"/>
  </si>
  <si>
    <t>5340533010</t>
    <phoneticPr fontId="2" type="noConversion"/>
  </si>
  <si>
    <t>서포트 후드 앗세이</t>
  </si>
  <si>
    <t>A1-06-01-02-04</t>
  </si>
  <si>
    <t>5383533100</t>
    <phoneticPr fontId="2" type="noConversion"/>
  </si>
  <si>
    <t>전 휀다 철판브라켓 우</t>
  </si>
  <si>
    <t>5383653010</t>
    <phoneticPr fontId="2" type="noConversion"/>
  </si>
  <si>
    <t>브라켓.사이드판넬 Lh (ST)</t>
  </si>
  <si>
    <t>5383733010</t>
    <phoneticPr fontId="2" type="noConversion"/>
  </si>
  <si>
    <t>전 휀다 철판브라켓 -하</t>
  </si>
  <si>
    <t>5874308030</t>
    <phoneticPr fontId="2" type="noConversion"/>
  </si>
  <si>
    <t>후 도어 보호필름 우</t>
  </si>
  <si>
    <t>5874547020</t>
    <phoneticPr fontId="2" type="noConversion"/>
  </si>
  <si>
    <t>후휀다 보호필름,우</t>
  </si>
  <si>
    <t>5874733090</t>
    <phoneticPr fontId="2" type="noConversion"/>
  </si>
  <si>
    <t>후 휀다 보호필름 우</t>
  </si>
  <si>
    <t>6451033050</t>
    <phoneticPr fontId="2" type="noConversion"/>
  </si>
  <si>
    <t>트렁크 힌지</t>
  </si>
  <si>
    <t>6453007011</t>
    <phoneticPr fontId="2" type="noConversion"/>
  </si>
  <si>
    <t>SUPPORT ASSY,</t>
  </si>
  <si>
    <t>6457133020</t>
    <phoneticPr fontId="2" type="noConversion"/>
  </si>
  <si>
    <t>트렁크 힌지 커버 우</t>
  </si>
  <si>
    <t>6766333070</t>
    <phoneticPr fontId="2" type="noConversion"/>
  </si>
  <si>
    <t>전 도어 상단코너 커버 우</t>
  </si>
  <si>
    <t>6789533030</t>
    <phoneticPr fontId="2" type="noConversion"/>
  </si>
  <si>
    <t>후 도어 세로고무 우</t>
  </si>
  <si>
    <t>6904628020</t>
    <phoneticPr fontId="2" type="noConversion"/>
  </si>
  <si>
    <t>후 슬라이딩도어 스토퍼 캡</t>
  </si>
  <si>
    <t>7573007030</t>
    <phoneticPr fontId="2" type="noConversion"/>
  </si>
  <si>
    <t>뒷도어 벨트몰딩 우</t>
  </si>
  <si>
    <t>7575533070</t>
    <phoneticPr fontId="2" type="noConversion"/>
  </si>
  <si>
    <t>전 도어 B필러커버 우</t>
  </si>
  <si>
    <t>7681207010</t>
    <phoneticPr fontId="2" type="noConversion"/>
  </si>
  <si>
    <t>GARNISH, BACK DOOR,</t>
  </si>
  <si>
    <t>8531933600</t>
    <phoneticPr fontId="2" type="noConversion"/>
  </si>
  <si>
    <t>워셔액 통 입구</t>
  </si>
  <si>
    <t>8536133040</t>
    <phoneticPr fontId="2" type="noConversion"/>
  </si>
  <si>
    <t>워셔브라켓 우</t>
  </si>
  <si>
    <t>8536233020</t>
    <phoneticPr fontId="2" type="noConversion"/>
  </si>
  <si>
    <t>워셔브라켓 좌</t>
  </si>
  <si>
    <t>VOLVO</t>
    <phoneticPr fontId="2" type="noConversion"/>
  </si>
  <si>
    <t>31218089</t>
    <phoneticPr fontId="2" type="noConversion"/>
  </si>
  <si>
    <t>하단 커버 좌</t>
  </si>
  <si>
    <t>31352284</t>
    <phoneticPr fontId="2" type="noConversion"/>
  </si>
  <si>
    <t>RR BUMPER BRACKET LH</t>
  </si>
  <si>
    <t>31424581</t>
    <phoneticPr fontId="2" type="noConversion"/>
  </si>
  <si>
    <t>전 휀다 브라켓 우 - 상</t>
  </si>
  <si>
    <t>31425224</t>
    <phoneticPr fontId="2" type="noConversion"/>
  </si>
  <si>
    <t>31425463</t>
    <phoneticPr fontId="2" type="noConversion"/>
  </si>
  <si>
    <t>31425465</t>
    <phoneticPr fontId="2" type="noConversion"/>
  </si>
  <si>
    <t>A1-03-03-03-01</t>
    <phoneticPr fontId="2" type="noConversion"/>
  </si>
  <si>
    <t>32229819</t>
    <phoneticPr fontId="2" type="noConversion"/>
  </si>
  <si>
    <t>앞도어 벨트몰딩 우</t>
  </si>
  <si>
    <t>VW</t>
    <phoneticPr fontId="2" type="noConversion"/>
  </si>
  <si>
    <t>4H0805637</t>
    <phoneticPr fontId="2" type="noConversion"/>
  </si>
  <si>
    <t>전판넬 리테닝 브라켓</t>
  </si>
  <si>
    <t>4H0807135C</t>
    <phoneticPr fontId="2" type="noConversion"/>
  </si>
  <si>
    <t>전 범퍼 에너지 브라켓,좌</t>
  </si>
  <si>
    <t>4H0807136C</t>
    <phoneticPr fontId="2" type="noConversion"/>
  </si>
  <si>
    <t>전 범퍼 에너지 브라켓,우</t>
  </si>
  <si>
    <t>4H0821135F</t>
    <phoneticPr fontId="2" type="noConversion"/>
  </si>
  <si>
    <t>전 휀다 브레이스 좌 - 후</t>
  </si>
  <si>
    <t>A1-09-01-01-03</t>
    <phoneticPr fontId="2" type="noConversion"/>
  </si>
  <si>
    <t>4H0821136F</t>
    <phoneticPr fontId="2" type="noConversion"/>
  </si>
  <si>
    <t>4H0821259C</t>
    <phoneticPr fontId="2" type="noConversion"/>
  </si>
  <si>
    <t>전 휀다 브레이스 좌 - 전</t>
  </si>
  <si>
    <t>4H0853140ET94</t>
    <phoneticPr fontId="2" type="noConversion"/>
  </si>
  <si>
    <t>카메라 홀더</t>
  </si>
  <si>
    <t>4H0941454</t>
    <phoneticPr fontId="2" type="noConversion"/>
  </si>
  <si>
    <t>헤드램프 브라켓</t>
  </si>
  <si>
    <t>A1-06-01-02-04</t>
    <phoneticPr fontId="2" type="noConversion"/>
  </si>
  <si>
    <t>storageCode</t>
  </si>
  <si>
    <t>rackCode</t>
  </si>
  <si>
    <t>rackName</t>
  </si>
  <si>
    <t>A1-03-02-02-05</t>
  </si>
  <si>
    <t>A1-03-03-03-01</t>
  </si>
  <si>
    <t>A1-04-03-03-01</t>
  </si>
  <si>
    <t>A1-09-01-01-03</t>
  </si>
  <si>
    <t xml:space="preserve">select rackName, rackCode, storageCode from
 dbo.e_rack
  where comCode = 'ㄱ121'
    and storageCode = '250923001'
  order by rackName asc;
</t>
    <phoneticPr fontId="2" type="noConversion"/>
  </si>
  <si>
    <t>A1-02-03-03-04</t>
    <phoneticPr fontId="2" type="noConversion"/>
  </si>
  <si>
    <t>brand</t>
    <phoneticPr fontId="2" type="noConversion"/>
  </si>
  <si>
    <t>itemNo</t>
    <phoneticPr fontId="2" type="noConversion"/>
  </si>
  <si>
    <t>itemName</t>
    <phoneticPr fontId="2" type="noConversion"/>
  </si>
  <si>
    <t>qty</t>
    <phoneticPr fontId="2" type="noConversion"/>
  </si>
  <si>
    <t>centerPrice</t>
    <phoneticPr fontId="2" type="noConversion"/>
  </si>
  <si>
    <t>rackName</t>
    <phoneticPr fontId="2" type="noConversion"/>
  </si>
  <si>
    <t>rackCode1</t>
    <phoneticPr fontId="2" type="noConversion"/>
  </si>
  <si>
    <t xml:space="preserve"> 수식</t>
    <phoneticPr fontId="2" type="noConversion"/>
  </si>
  <si>
    <t>이동할 rackCode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</si>
</sst>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1" fontId="0" fillId="2" borderId="0" xfId="1" applyFont="1" applyFill="1" applyAlignment="1">
      <alignment horizontal="center" vertical="center"/>
    </xf>
    <xf numFmtId="49" fontId="0" fillId="2" borderId="0" xfId="1" applyNumberFormat="1" applyFont="1" applyFill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8F93-4525-46F6-BA57-64F34A86A2C0}">
  <dimension ref="A1:P116"/>
  <sheetViews>
    <sheetView tabSelected="1" workbookViewId="0">
      <selection activeCell="L14" sqref="L14"/>
    </sheetView>
  </sheetViews>
  <sheetFormatPr defaultRowHeight="16.5" x14ac:dyDescent="0.3"/>
  <cols>
    <col min="2" max="2" width="16.375" bestFit="1" customWidth="1"/>
    <col min="3" max="3" width="20.5" customWidth="1"/>
    <col min="7" max="7" width="15.25" bestFit="1" customWidth="1"/>
    <col min="8" max="9" width="10.5" bestFit="1" customWidth="1"/>
    <col min="14" max="14" width="18.25" bestFit="1" customWidth="1"/>
    <col min="15" max="15" width="11.875" bestFit="1" customWidth="1"/>
    <col min="16" max="16" width="12.5" bestFit="1" customWidth="1"/>
  </cols>
  <sheetData>
    <row r="1" spans="1:16" x14ac:dyDescent="0.3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G1" t="s">
        <v>260</v>
      </c>
      <c r="H1" t="s">
        <v>261</v>
      </c>
      <c r="I1" t="s">
        <v>263</v>
      </c>
      <c r="J1" t="s">
        <v>262</v>
      </c>
    </row>
    <row r="2" spans="1:16" x14ac:dyDescent="0.3">
      <c r="A2" s="1" t="s">
        <v>41</v>
      </c>
      <c r="B2" s="2" t="s">
        <v>45</v>
      </c>
      <c r="C2" s="1" t="s">
        <v>46</v>
      </c>
      <c r="D2" s="1">
        <v>1</v>
      </c>
      <c r="E2" s="3">
        <v>52000</v>
      </c>
      <c r="F2" s="3"/>
      <c r="G2" s="4" t="s">
        <v>254</v>
      </c>
      <c r="H2" s="1">
        <v>905</v>
      </c>
      <c r="I2" s="1">
        <v>931</v>
      </c>
      <c r="J2">
        <f>VLOOKUP(G2, $N$3:$O$21, 2, FALSE)</f>
        <v>931</v>
      </c>
      <c r="N2" t="s">
        <v>248</v>
      </c>
      <c r="O2" t="s">
        <v>247</v>
      </c>
      <c r="P2" s="4" t="s">
        <v>246</v>
      </c>
    </row>
    <row r="3" spans="1:16" x14ac:dyDescent="0.3">
      <c r="A3" s="1" t="s">
        <v>96</v>
      </c>
      <c r="B3" s="2" t="s">
        <v>100</v>
      </c>
      <c r="C3" s="1" t="s">
        <v>101</v>
      </c>
      <c r="D3" s="1">
        <v>1</v>
      </c>
      <c r="E3" s="3">
        <v>146600</v>
      </c>
      <c r="F3" s="3"/>
      <c r="G3" s="4" t="s">
        <v>102</v>
      </c>
      <c r="H3" s="1">
        <v>905</v>
      </c>
      <c r="I3" s="1">
        <v>931</v>
      </c>
      <c r="J3">
        <f t="shared" ref="J3:J66" si="0">VLOOKUP(G3, $N$3:$O$21, 2, FALSE)</f>
        <v>931</v>
      </c>
      <c r="N3" t="s">
        <v>47</v>
      </c>
      <c r="O3">
        <v>931</v>
      </c>
      <c r="P3">
        <v>250923001</v>
      </c>
    </row>
    <row r="4" spans="1:16" x14ac:dyDescent="0.3">
      <c r="A4" s="1" t="s">
        <v>118</v>
      </c>
      <c r="B4" s="2" t="s">
        <v>126</v>
      </c>
      <c r="C4" s="1" t="s">
        <v>127</v>
      </c>
      <c r="D4" s="1">
        <v>1</v>
      </c>
      <c r="E4" s="3">
        <v>52200</v>
      </c>
      <c r="F4" s="3"/>
      <c r="G4" s="4" t="s">
        <v>47</v>
      </c>
      <c r="H4" s="1">
        <v>905</v>
      </c>
      <c r="I4" s="1">
        <v>931</v>
      </c>
      <c r="J4">
        <f t="shared" si="0"/>
        <v>931</v>
      </c>
      <c r="N4" t="s">
        <v>50</v>
      </c>
      <c r="O4">
        <v>932</v>
      </c>
      <c r="P4">
        <v>250923001</v>
      </c>
    </row>
    <row r="5" spans="1:16" x14ac:dyDescent="0.3">
      <c r="A5" s="1" t="s">
        <v>118</v>
      </c>
      <c r="B5" s="2" t="s">
        <v>128</v>
      </c>
      <c r="C5" s="1" t="s">
        <v>129</v>
      </c>
      <c r="D5" s="1">
        <v>1</v>
      </c>
      <c r="E5" s="3">
        <v>78000</v>
      </c>
      <c r="F5" s="3"/>
      <c r="G5" s="4" t="s">
        <v>47</v>
      </c>
      <c r="H5" s="1">
        <v>905</v>
      </c>
      <c r="I5" s="1">
        <v>931</v>
      </c>
      <c r="J5">
        <f t="shared" si="0"/>
        <v>931</v>
      </c>
      <c r="N5" t="s">
        <v>27</v>
      </c>
      <c r="O5">
        <v>933</v>
      </c>
      <c r="P5">
        <v>250923001</v>
      </c>
    </row>
    <row r="6" spans="1:16" x14ac:dyDescent="0.3">
      <c r="A6" s="1" t="s">
        <v>142</v>
      </c>
      <c r="B6" s="2" t="s">
        <v>144</v>
      </c>
      <c r="C6" s="1" t="s">
        <v>145</v>
      </c>
      <c r="D6" s="1">
        <v>1</v>
      </c>
      <c r="E6" s="3">
        <v>56400</v>
      </c>
      <c r="F6" s="3"/>
      <c r="G6" s="4" t="s">
        <v>47</v>
      </c>
      <c r="H6" s="1">
        <v>905</v>
      </c>
      <c r="I6" s="1">
        <v>931</v>
      </c>
      <c r="J6">
        <f t="shared" si="0"/>
        <v>931</v>
      </c>
      <c r="N6" t="s">
        <v>62</v>
      </c>
      <c r="O6">
        <v>934</v>
      </c>
      <c r="P6">
        <v>250923001</v>
      </c>
    </row>
    <row r="7" spans="1:16" x14ac:dyDescent="0.3">
      <c r="A7" s="1" t="s">
        <v>156</v>
      </c>
      <c r="B7" s="2" t="s">
        <v>165</v>
      </c>
      <c r="C7" s="1" t="s">
        <v>166</v>
      </c>
      <c r="D7" s="1">
        <v>1</v>
      </c>
      <c r="E7" s="3">
        <v>43400</v>
      </c>
      <c r="F7" s="3"/>
      <c r="G7" s="4" t="s">
        <v>47</v>
      </c>
      <c r="H7" s="1">
        <v>905</v>
      </c>
      <c r="I7" s="1">
        <v>931</v>
      </c>
      <c r="J7">
        <f t="shared" si="0"/>
        <v>931</v>
      </c>
      <c r="N7" t="s">
        <v>11</v>
      </c>
      <c r="O7">
        <v>935</v>
      </c>
      <c r="P7">
        <v>250923001</v>
      </c>
    </row>
    <row r="8" spans="1:16" x14ac:dyDescent="0.3">
      <c r="A8" s="1" t="s">
        <v>156</v>
      </c>
      <c r="B8" s="2" t="s">
        <v>209</v>
      </c>
      <c r="C8" s="1" t="s">
        <v>210</v>
      </c>
      <c r="D8" s="1">
        <v>1</v>
      </c>
      <c r="E8" s="3">
        <v>66400</v>
      </c>
      <c r="F8" s="3"/>
      <c r="G8" s="4" t="s">
        <v>47</v>
      </c>
      <c r="H8" s="1">
        <v>905</v>
      </c>
      <c r="I8" s="1">
        <v>931</v>
      </c>
      <c r="J8">
        <f t="shared" si="0"/>
        <v>931</v>
      </c>
      <c r="N8" t="s">
        <v>249</v>
      </c>
      <c r="O8">
        <v>936</v>
      </c>
      <c r="P8">
        <v>250923001</v>
      </c>
    </row>
    <row r="9" spans="1:16" x14ac:dyDescent="0.3">
      <c r="A9" s="1" t="s">
        <v>41</v>
      </c>
      <c r="B9" s="2" t="s">
        <v>48</v>
      </c>
      <c r="C9" s="1" t="s">
        <v>49</v>
      </c>
      <c r="D9" s="1">
        <v>1</v>
      </c>
      <c r="E9" s="3">
        <v>67400</v>
      </c>
      <c r="F9" s="3"/>
      <c r="G9" s="4" t="s">
        <v>50</v>
      </c>
      <c r="H9" s="1">
        <v>906</v>
      </c>
      <c r="I9" s="1">
        <v>932</v>
      </c>
      <c r="J9">
        <f t="shared" si="0"/>
        <v>932</v>
      </c>
      <c r="N9" t="s">
        <v>67</v>
      </c>
      <c r="O9">
        <v>937</v>
      </c>
      <c r="P9">
        <v>250923001</v>
      </c>
    </row>
    <row r="10" spans="1:16" x14ac:dyDescent="0.3">
      <c r="A10" s="1" t="s">
        <v>41</v>
      </c>
      <c r="B10" s="2" t="s">
        <v>51</v>
      </c>
      <c r="C10" s="1" t="s">
        <v>52</v>
      </c>
      <c r="D10" s="1">
        <v>1</v>
      </c>
      <c r="E10" s="3">
        <v>105000</v>
      </c>
      <c r="F10" s="3"/>
      <c r="G10" s="4" t="s">
        <v>50</v>
      </c>
      <c r="H10" s="1">
        <v>906</v>
      </c>
      <c r="I10" s="1">
        <v>932</v>
      </c>
      <c r="J10">
        <f t="shared" si="0"/>
        <v>932</v>
      </c>
      <c r="N10" t="s">
        <v>250</v>
      </c>
      <c r="O10">
        <v>938</v>
      </c>
      <c r="P10">
        <v>250923001</v>
      </c>
    </row>
    <row r="11" spans="1:16" x14ac:dyDescent="0.3">
      <c r="A11" s="1" t="s">
        <v>24</v>
      </c>
      <c r="B11" s="2" t="s">
        <v>25</v>
      </c>
      <c r="C11" s="1" t="s">
        <v>26</v>
      </c>
      <c r="D11" s="1">
        <v>1</v>
      </c>
      <c r="E11" s="3">
        <v>181200</v>
      </c>
      <c r="F11" s="3"/>
      <c r="G11" s="4" t="s">
        <v>27</v>
      </c>
      <c r="H11" s="1">
        <v>907</v>
      </c>
      <c r="I11" s="1">
        <v>933</v>
      </c>
      <c r="J11">
        <f t="shared" si="0"/>
        <v>933</v>
      </c>
      <c r="N11" t="s">
        <v>3</v>
      </c>
      <c r="O11">
        <v>939</v>
      </c>
      <c r="P11">
        <v>250923001</v>
      </c>
    </row>
    <row r="12" spans="1:16" x14ac:dyDescent="0.3">
      <c r="A12" s="1" t="s">
        <v>24</v>
      </c>
      <c r="B12" s="2" t="s">
        <v>28</v>
      </c>
      <c r="C12" s="1" t="s">
        <v>29</v>
      </c>
      <c r="D12" s="1">
        <v>1</v>
      </c>
      <c r="E12" s="3">
        <v>0</v>
      </c>
      <c r="F12" s="3"/>
      <c r="G12" s="4" t="s">
        <v>27</v>
      </c>
      <c r="H12" s="1">
        <v>907</v>
      </c>
      <c r="I12" s="1">
        <v>933</v>
      </c>
      <c r="J12">
        <f t="shared" si="0"/>
        <v>933</v>
      </c>
      <c r="N12" t="s">
        <v>251</v>
      </c>
      <c r="O12">
        <v>940</v>
      </c>
      <c r="P12">
        <v>250923001</v>
      </c>
    </row>
    <row r="13" spans="1:16" x14ac:dyDescent="0.3">
      <c r="A13" s="1" t="s">
        <v>41</v>
      </c>
      <c r="B13" s="2" t="s">
        <v>53</v>
      </c>
      <c r="C13" s="1" t="s">
        <v>54</v>
      </c>
      <c r="D13" s="1">
        <v>1</v>
      </c>
      <c r="E13" s="3">
        <v>25900</v>
      </c>
      <c r="F13" s="3"/>
      <c r="G13" s="4" t="s">
        <v>27</v>
      </c>
      <c r="H13" s="1">
        <v>907</v>
      </c>
      <c r="I13" s="1">
        <v>933</v>
      </c>
      <c r="J13">
        <f t="shared" si="0"/>
        <v>933</v>
      </c>
      <c r="N13" t="s">
        <v>81</v>
      </c>
      <c r="O13">
        <v>941</v>
      </c>
      <c r="P13">
        <v>250923001</v>
      </c>
    </row>
    <row r="14" spans="1:16" x14ac:dyDescent="0.3">
      <c r="A14" s="1" t="s">
        <v>41</v>
      </c>
      <c r="B14" s="2" t="s">
        <v>55</v>
      </c>
      <c r="C14" s="1" t="s">
        <v>56</v>
      </c>
      <c r="D14" s="1">
        <v>1</v>
      </c>
      <c r="E14" s="3">
        <v>32000</v>
      </c>
      <c r="F14" s="3"/>
      <c r="G14" s="4" t="s">
        <v>27</v>
      </c>
      <c r="H14" s="1">
        <v>907</v>
      </c>
      <c r="I14" s="1">
        <v>933</v>
      </c>
      <c r="J14">
        <f t="shared" si="0"/>
        <v>933</v>
      </c>
      <c r="N14" t="s">
        <v>178</v>
      </c>
      <c r="O14">
        <v>942</v>
      </c>
      <c r="P14">
        <v>250923001</v>
      </c>
    </row>
    <row r="15" spans="1:16" x14ac:dyDescent="0.3">
      <c r="A15" s="1" t="s">
        <v>41</v>
      </c>
      <c r="B15" s="2" t="s">
        <v>57</v>
      </c>
      <c r="C15" s="1" t="s">
        <v>58</v>
      </c>
      <c r="D15" s="1">
        <v>1</v>
      </c>
      <c r="E15" s="3">
        <v>66800</v>
      </c>
      <c r="F15" s="3"/>
      <c r="G15" s="4" t="s">
        <v>27</v>
      </c>
      <c r="H15" s="1">
        <v>907</v>
      </c>
      <c r="I15" s="1">
        <v>933</v>
      </c>
      <c r="J15">
        <f t="shared" si="0"/>
        <v>933</v>
      </c>
      <c r="N15" t="s">
        <v>36</v>
      </c>
      <c r="O15">
        <v>943</v>
      </c>
      <c r="P15">
        <v>250923001</v>
      </c>
    </row>
    <row r="16" spans="1:16" x14ac:dyDescent="0.3">
      <c r="A16" s="1" t="s">
        <v>41</v>
      </c>
      <c r="B16" s="2" t="s">
        <v>59</v>
      </c>
      <c r="C16" s="1"/>
      <c r="D16" s="1">
        <v>1</v>
      </c>
      <c r="E16" s="3">
        <v>493800</v>
      </c>
      <c r="F16" s="3"/>
      <c r="G16" s="4" t="s">
        <v>27</v>
      </c>
      <c r="H16" s="1">
        <v>907</v>
      </c>
      <c r="I16" s="1">
        <v>933</v>
      </c>
      <c r="J16">
        <f t="shared" si="0"/>
        <v>933</v>
      </c>
      <c r="N16" t="s">
        <v>107</v>
      </c>
      <c r="O16">
        <v>944</v>
      </c>
      <c r="P16">
        <v>250923001</v>
      </c>
    </row>
    <row r="17" spans="1:16" x14ac:dyDescent="0.3">
      <c r="A17" s="1" t="s">
        <v>96</v>
      </c>
      <c r="B17" s="2" t="s">
        <v>103</v>
      </c>
      <c r="C17" s="1" t="s">
        <v>104</v>
      </c>
      <c r="D17" s="1">
        <v>1</v>
      </c>
      <c r="E17" s="3">
        <v>9500</v>
      </c>
      <c r="F17" s="3"/>
      <c r="G17" s="4" t="s">
        <v>27</v>
      </c>
      <c r="H17" s="1">
        <v>907</v>
      </c>
      <c r="I17" s="1">
        <v>933</v>
      </c>
      <c r="J17">
        <f t="shared" si="0"/>
        <v>933</v>
      </c>
      <c r="N17" t="s">
        <v>20</v>
      </c>
      <c r="O17">
        <v>945</v>
      </c>
      <c r="P17">
        <v>250923001</v>
      </c>
    </row>
    <row r="18" spans="1:16" x14ac:dyDescent="0.3">
      <c r="A18" s="1" t="s">
        <v>215</v>
      </c>
      <c r="B18" s="2" t="s">
        <v>220</v>
      </c>
      <c r="C18" s="1" t="s">
        <v>221</v>
      </c>
      <c r="D18" s="1">
        <v>1</v>
      </c>
      <c r="E18" s="3">
        <v>36200</v>
      </c>
      <c r="F18" s="3"/>
      <c r="G18" s="4" t="s">
        <v>27</v>
      </c>
      <c r="H18" s="1">
        <v>907</v>
      </c>
      <c r="I18" s="1">
        <v>933</v>
      </c>
      <c r="J18">
        <f t="shared" si="0"/>
        <v>933</v>
      </c>
      <c r="N18" t="s">
        <v>75</v>
      </c>
      <c r="O18">
        <v>946</v>
      </c>
      <c r="P18">
        <v>250923001</v>
      </c>
    </row>
    <row r="19" spans="1:16" x14ac:dyDescent="0.3">
      <c r="A19" s="1" t="s">
        <v>41</v>
      </c>
      <c r="B19" s="2" t="s">
        <v>60</v>
      </c>
      <c r="C19" s="1" t="s">
        <v>61</v>
      </c>
      <c r="D19" s="1">
        <v>1</v>
      </c>
      <c r="E19" s="3">
        <v>0</v>
      </c>
      <c r="F19" s="3"/>
      <c r="G19" s="4" t="s">
        <v>62</v>
      </c>
      <c r="H19" s="1">
        <v>908</v>
      </c>
      <c r="I19" s="1">
        <v>934</v>
      </c>
      <c r="J19">
        <f t="shared" si="0"/>
        <v>934</v>
      </c>
      <c r="N19" t="s">
        <v>23</v>
      </c>
      <c r="O19">
        <v>947</v>
      </c>
      <c r="P19">
        <v>250923001</v>
      </c>
    </row>
    <row r="20" spans="1:16" x14ac:dyDescent="0.3">
      <c r="A20" s="1" t="s">
        <v>41</v>
      </c>
      <c r="B20" s="2" t="s">
        <v>63</v>
      </c>
      <c r="C20" s="1" t="s">
        <v>64</v>
      </c>
      <c r="D20" s="1">
        <v>1</v>
      </c>
      <c r="E20" s="3">
        <v>74600</v>
      </c>
      <c r="F20" s="3"/>
      <c r="G20" s="4" t="s">
        <v>62</v>
      </c>
      <c r="H20" s="1">
        <v>908</v>
      </c>
      <c r="I20" s="1">
        <v>934</v>
      </c>
      <c r="J20">
        <f t="shared" si="0"/>
        <v>934</v>
      </c>
      <c r="N20" t="s">
        <v>252</v>
      </c>
      <c r="O20">
        <v>948</v>
      </c>
      <c r="P20">
        <v>250923001</v>
      </c>
    </row>
    <row r="21" spans="1:16" x14ac:dyDescent="0.3">
      <c r="A21" s="1" t="s">
        <v>118</v>
      </c>
      <c r="B21" s="2" t="s">
        <v>130</v>
      </c>
      <c r="C21" s="1" t="s">
        <v>131</v>
      </c>
      <c r="D21" s="1">
        <v>1</v>
      </c>
      <c r="E21" s="3">
        <v>68800</v>
      </c>
      <c r="F21" s="3"/>
      <c r="G21" s="4" t="s">
        <v>62</v>
      </c>
      <c r="H21" s="1">
        <v>908</v>
      </c>
      <c r="I21" s="1">
        <v>934</v>
      </c>
      <c r="J21">
        <f t="shared" si="0"/>
        <v>934</v>
      </c>
      <c r="N21" t="s">
        <v>44</v>
      </c>
      <c r="O21">
        <v>949</v>
      </c>
      <c r="P21">
        <v>250923001</v>
      </c>
    </row>
    <row r="22" spans="1:16" x14ac:dyDescent="0.3">
      <c r="A22" s="1" t="s">
        <v>142</v>
      </c>
      <c r="B22" s="2" t="s">
        <v>146</v>
      </c>
      <c r="C22" s="1" t="s">
        <v>147</v>
      </c>
      <c r="D22" s="1">
        <v>1</v>
      </c>
      <c r="E22" s="3">
        <v>54900</v>
      </c>
      <c r="F22" s="3"/>
      <c r="G22" s="4" t="s">
        <v>62</v>
      </c>
      <c r="H22" s="1">
        <v>908</v>
      </c>
      <c r="I22" s="1">
        <v>934</v>
      </c>
      <c r="J22">
        <f t="shared" si="0"/>
        <v>934</v>
      </c>
    </row>
    <row r="23" spans="1:16" x14ac:dyDescent="0.3">
      <c r="A23" s="1" t="s">
        <v>156</v>
      </c>
      <c r="B23" s="2" t="s">
        <v>195</v>
      </c>
      <c r="C23" s="1" t="s">
        <v>196</v>
      </c>
      <c r="D23" s="1">
        <v>1</v>
      </c>
      <c r="E23" s="3">
        <v>67100</v>
      </c>
      <c r="F23" s="3"/>
      <c r="G23" s="4" t="s">
        <v>62</v>
      </c>
      <c r="H23" s="1">
        <v>908</v>
      </c>
      <c r="I23" s="1">
        <v>934</v>
      </c>
      <c r="J23">
        <f t="shared" si="0"/>
        <v>934</v>
      </c>
    </row>
    <row r="24" spans="1:16" x14ac:dyDescent="0.3">
      <c r="A24" s="1" t="s">
        <v>215</v>
      </c>
      <c r="B24" s="2" t="s">
        <v>218</v>
      </c>
      <c r="C24" s="1" t="s">
        <v>219</v>
      </c>
      <c r="D24" s="1">
        <v>1</v>
      </c>
      <c r="E24" s="3">
        <v>0</v>
      </c>
      <c r="F24" s="3"/>
      <c r="G24" s="4" t="s">
        <v>62</v>
      </c>
      <c r="H24" s="1">
        <v>908</v>
      </c>
      <c r="I24" s="1">
        <v>934</v>
      </c>
      <c r="J24">
        <f t="shared" si="0"/>
        <v>934</v>
      </c>
    </row>
    <row r="25" spans="1:16" x14ac:dyDescent="0.3">
      <c r="A25" s="1" t="s">
        <v>8</v>
      </c>
      <c r="B25" s="2" t="s">
        <v>9</v>
      </c>
      <c r="C25" s="1" t="s">
        <v>10</v>
      </c>
      <c r="D25" s="1">
        <v>1</v>
      </c>
      <c r="E25" s="3">
        <v>41600</v>
      </c>
      <c r="F25" s="3"/>
      <c r="G25" s="4" t="s">
        <v>11</v>
      </c>
      <c r="H25" s="1">
        <v>909</v>
      </c>
      <c r="I25" s="1">
        <v>935</v>
      </c>
      <c r="J25">
        <f t="shared" si="0"/>
        <v>935</v>
      </c>
    </row>
    <row r="26" spans="1:16" ht="99" customHeight="1" x14ac:dyDescent="0.3">
      <c r="A26" s="1" t="s">
        <v>8</v>
      </c>
      <c r="B26" s="2" t="s">
        <v>12</v>
      </c>
      <c r="C26" s="1" t="s">
        <v>13</v>
      </c>
      <c r="D26" s="1">
        <v>1</v>
      </c>
      <c r="E26" s="3">
        <v>18900</v>
      </c>
      <c r="F26" s="3"/>
      <c r="G26" s="4" t="s">
        <v>14</v>
      </c>
      <c r="H26" s="1">
        <v>909</v>
      </c>
      <c r="I26" s="1">
        <v>935</v>
      </c>
      <c r="J26">
        <f t="shared" si="0"/>
        <v>935</v>
      </c>
      <c r="N26" s="6" t="s">
        <v>253</v>
      </c>
      <c r="O26" s="6"/>
      <c r="P26" s="6"/>
    </row>
    <row r="27" spans="1:16" x14ac:dyDescent="0.3">
      <c r="A27" s="1" t="s">
        <v>24</v>
      </c>
      <c r="B27" s="2" t="s">
        <v>30</v>
      </c>
      <c r="C27" s="1" t="s">
        <v>31</v>
      </c>
      <c r="D27" s="1">
        <v>1</v>
      </c>
      <c r="E27" s="3">
        <v>34600</v>
      </c>
      <c r="F27" s="3"/>
      <c r="G27" s="4" t="s">
        <v>11</v>
      </c>
      <c r="H27" s="1">
        <v>909</v>
      </c>
      <c r="I27" s="1">
        <v>935</v>
      </c>
      <c r="J27">
        <f t="shared" si="0"/>
        <v>935</v>
      </c>
    </row>
    <row r="28" spans="1:16" x14ac:dyDescent="0.3">
      <c r="A28" s="1" t="s">
        <v>118</v>
      </c>
      <c r="B28" s="2" t="s">
        <v>132</v>
      </c>
      <c r="C28" s="1" t="s">
        <v>133</v>
      </c>
      <c r="D28" s="1">
        <v>1</v>
      </c>
      <c r="E28" s="3">
        <v>51900</v>
      </c>
      <c r="F28" s="3"/>
      <c r="G28" s="4" t="s">
        <v>11</v>
      </c>
      <c r="H28" s="1">
        <v>909</v>
      </c>
      <c r="I28" s="1">
        <v>935</v>
      </c>
      <c r="J28">
        <f t="shared" si="0"/>
        <v>935</v>
      </c>
    </row>
    <row r="29" spans="1:16" x14ac:dyDescent="0.3">
      <c r="A29" s="1" t="s">
        <v>156</v>
      </c>
      <c r="B29" s="2" t="s">
        <v>167</v>
      </c>
      <c r="C29" s="1" t="s">
        <v>168</v>
      </c>
      <c r="D29" s="1">
        <v>1</v>
      </c>
      <c r="E29" s="3">
        <v>102400</v>
      </c>
      <c r="F29" s="3"/>
      <c r="G29" s="4" t="s">
        <v>11</v>
      </c>
      <c r="H29" s="1">
        <v>909</v>
      </c>
      <c r="I29" s="1">
        <v>935</v>
      </c>
      <c r="J29">
        <f t="shared" si="0"/>
        <v>935</v>
      </c>
    </row>
    <row r="30" spans="1:16" x14ac:dyDescent="0.3">
      <c r="A30" s="1" t="s">
        <v>156</v>
      </c>
      <c r="B30" s="2" t="s">
        <v>189</v>
      </c>
      <c r="C30" s="1" t="s">
        <v>190</v>
      </c>
      <c r="D30" s="1">
        <v>1</v>
      </c>
      <c r="E30" s="3">
        <v>20600</v>
      </c>
      <c r="F30" s="3"/>
      <c r="G30" s="4" t="s">
        <v>11</v>
      </c>
      <c r="H30" s="1">
        <v>909</v>
      </c>
      <c r="I30" s="1">
        <v>935</v>
      </c>
      <c r="J30">
        <f t="shared" si="0"/>
        <v>935</v>
      </c>
    </row>
    <row r="31" spans="1:16" x14ac:dyDescent="0.3">
      <c r="A31" s="1" t="s">
        <v>156</v>
      </c>
      <c r="B31" s="2" t="s">
        <v>191</v>
      </c>
      <c r="C31" s="1" t="s">
        <v>192</v>
      </c>
      <c r="D31" s="1">
        <v>1</v>
      </c>
      <c r="E31" s="3">
        <v>162200</v>
      </c>
      <c r="F31" s="3"/>
      <c r="G31" s="4" t="s">
        <v>11</v>
      </c>
      <c r="H31" s="1">
        <v>909</v>
      </c>
      <c r="I31" s="1">
        <v>935</v>
      </c>
      <c r="J31">
        <f t="shared" si="0"/>
        <v>935</v>
      </c>
    </row>
    <row r="32" spans="1:16" x14ac:dyDescent="0.3">
      <c r="A32" s="1" t="s">
        <v>156</v>
      </c>
      <c r="B32" s="2" t="s">
        <v>193</v>
      </c>
      <c r="C32" s="1" t="s">
        <v>194</v>
      </c>
      <c r="D32" s="1">
        <v>1</v>
      </c>
      <c r="E32" s="3">
        <v>134800</v>
      </c>
      <c r="F32" s="3"/>
      <c r="G32" s="4" t="s">
        <v>11</v>
      </c>
      <c r="H32" s="1">
        <v>909</v>
      </c>
      <c r="I32" s="1">
        <v>935</v>
      </c>
      <c r="J32">
        <f t="shared" si="0"/>
        <v>935</v>
      </c>
    </row>
    <row r="33" spans="1:16" x14ac:dyDescent="0.3">
      <c r="A33" s="1" t="s">
        <v>156</v>
      </c>
      <c r="B33" s="2" t="s">
        <v>199</v>
      </c>
      <c r="C33" s="1" t="s">
        <v>200</v>
      </c>
      <c r="D33" s="1">
        <v>1</v>
      </c>
      <c r="E33" s="3">
        <v>34200</v>
      </c>
      <c r="F33" s="3"/>
      <c r="G33" s="4" t="s">
        <v>11</v>
      </c>
      <c r="H33" s="1">
        <v>909</v>
      </c>
      <c r="I33" s="1">
        <v>935</v>
      </c>
      <c r="J33">
        <f t="shared" si="0"/>
        <v>935</v>
      </c>
      <c r="N33" s="5"/>
      <c r="O33" s="5"/>
      <c r="P33" s="5"/>
    </row>
    <row r="34" spans="1:16" x14ac:dyDescent="0.3">
      <c r="A34" s="1" t="s">
        <v>4</v>
      </c>
      <c r="B34" s="2" t="s">
        <v>5</v>
      </c>
      <c r="C34" s="1" t="s">
        <v>6</v>
      </c>
      <c r="D34" s="1">
        <v>1</v>
      </c>
      <c r="E34" s="3">
        <v>140700</v>
      </c>
      <c r="F34" s="3"/>
      <c r="G34" s="4" t="s">
        <v>7</v>
      </c>
      <c r="H34" s="1">
        <v>910</v>
      </c>
      <c r="I34" s="1">
        <v>936</v>
      </c>
      <c r="J34">
        <f t="shared" si="0"/>
        <v>936</v>
      </c>
      <c r="N34" s="5"/>
      <c r="O34" s="5"/>
      <c r="P34" s="5"/>
    </row>
    <row r="35" spans="1:16" x14ac:dyDescent="0.3">
      <c r="A35" s="1" t="s">
        <v>93</v>
      </c>
      <c r="B35" s="2" t="s">
        <v>94</v>
      </c>
      <c r="C35" s="1" t="s">
        <v>95</v>
      </c>
      <c r="D35" s="1">
        <v>1</v>
      </c>
      <c r="E35" s="3">
        <v>79700</v>
      </c>
      <c r="F35" s="3"/>
      <c r="G35" s="4" t="s">
        <v>7</v>
      </c>
      <c r="H35" s="1">
        <v>910</v>
      </c>
      <c r="I35" s="1">
        <v>936</v>
      </c>
      <c r="J35">
        <f t="shared" si="0"/>
        <v>936</v>
      </c>
      <c r="N35" s="5"/>
      <c r="O35" s="5"/>
      <c r="P35" s="5"/>
    </row>
    <row r="36" spans="1:16" x14ac:dyDescent="0.3">
      <c r="A36" s="1" t="s">
        <v>118</v>
      </c>
      <c r="B36" s="2" t="s">
        <v>134</v>
      </c>
      <c r="C36" s="1" t="s">
        <v>135</v>
      </c>
      <c r="D36" s="1">
        <v>1</v>
      </c>
      <c r="E36" s="3">
        <v>224100</v>
      </c>
      <c r="F36" s="3"/>
      <c r="G36" s="4" t="s">
        <v>7</v>
      </c>
      <c r="H36" s="1">
        <v>910</v>
      </c>
      <c r="I36" s="1">
        <v>936</v>
      </c>
      <c r="J36">
        <f t="shared" si="0"/>
        <v>936</v>
      </c>
      <c r="N36" s="5"/>
      <c r="O36" s="5"/>
      <c r="P36" s="5"/>
    </row>
    <row r="37" spans="1:16" x14ac:dyDescent="0.3">
      <c r="A37" s="1" t="s">
        <v>118</v>
      </c>
      <c r="B37" s="2" t="s">
        <v>136</v>
      </c>
      <c r="C37" s="1" t="s">
        <v>137</v>
      </c>
      <c r="D37" s="1">
        <v>1</v>
      </c>
      <c r="E37" s="3">
        <v>191500</v>
      </c>
      <c r="F37" s="3"/>
      <c r="G37" s="4" t="s">
        <v>7</v>
      </c>
      <c r="H37" s="1">
        <v>910</v>
      </c>
      <c r="I37" s="1">
        <v>936</v>
      </c>
      <c r="J37">
        <f t="shared" si="0"/>
        <v>936</v>
      </c>
      <c r="N37" s="5"/>
      <c r="O37" s="5"/>
      <c r="P37" s="5"/>
    </row>
    <row r="38" spans="1:16" x14ac:dyDescent="0.3">
      <c r="A38" s="1" t="s">
        <v>156</v>
      </c>
      <c r="B38" s="2" t="s">
        <v>203</v>
      </c>
      <c r="C38" s="1" t="s">
        <v>204</v>
      </c>
      <c r="D38" s="1">
        <v>1</v>
      </c>
      <c r="E38" s="3">
        <v>102800</v>
      </c>
      <c r="F38" s="3"/>
      <c r="G38" s="4" t="s">
        <v>7</v>
      </c>
      <c r="H38" s="1">
        <v>910</v>
      </c>
      <c r="I38" s="1">
        <v>936</v>
      </c>
      <c r="J38">
        <f t="shared" si="0"/>
        <v>936</v>
      </c>
    </row>
    <row r="39" spans="1:16" x14ac:dyDescent="0.3">
      <c r="A39" s="1" t="s">
        <v>215</v>
      </c>
      <c r="B39" s="2" t="s">
        <v>226</v>
      </c>
      <c r="C39" s="1" t="s">
        <v>227</v>
      </c>
      <c r="D39" s="1">
        <v>1</v>
      </c>
      <c r="E39" s="3">
        <v>184800</v>
      </c>
      <c r="F39" s="3"/>
      <c r="G39" s="4" t="s">
        <v>7</v>
      </c>
      <c r="H39" s="1">
        <v>910</v>
      </c>
      <c r="I39" s="1">
        <v>936</v>
      </c>
      <c r="J39">
        <f t="shared" si="0"/>
        <v>936</v>
      </c>
    </row>
    <row r="40" spans="1:16" x14ac:dyDescent="0.3">
      <c r="A40" s="1" t="s">
        <v>41</v>
      </c>
      <c r="B40" s="2" t="s">
        <v>65</v>
      </c>
      <c r="C40" s="1" t="s">
        <v>66</v>
      </c>
      <c r="D40" s="1">
        <v>1</v>
      </c>
      <c r="E40" s="3">
        <v>14300</v>
      </c>
      <c r="F40" s="3"/>
      <c r="G40" s="4" t="s">
        <v>67</v>
      </c>
      <c r="H40" s="1">
        <v>911</v>
      </c>
      <c r="I40" s="1">
        <v>937</v>
      </c>
      <c r="J40">
        <f t="shared" si="0"/>
        <v>937</v>
      </c>
    </row>
    <row r="41" spans="1:16" x14ac:dyDescent="0.3">
      <c r="A41" s="1" t="s">
        <v>41</v>
      </c>
      <c r="B41" s="2" t="s">
        <v>68</v>
      </c>
      <c r="C41" s="1" t="s">
        <v>69</v>
      </c>
      <c r="D41" s="1">
        <v>1</v>
      </c>
      <c r="E41" s="3">
        <v>41000</v>
      </c>
      <c r="F41" s="3"/>
      <c r="G41" s="4" t="s">
        <v>67</v>
      </c>
      <c r="H41" s="1">
        <v>911</v>
      </c>
      <c r="I41" s="1">
        <v>937</v>
      </c>
      <c r="J41">
        <f t="shared" si="0"/>
        <v>937</v>
      </c>
    </row>
    <row r="42" spans="1:16" x14ac:dyDescent="0.3">
      <c r="A42" s="1" t="s">
        <v>142</v>
      </c>
      <c r="B42" s="2" t="s">
        <v>148</v>
      </c>
      <c r="C42" s="1" t="s">
        <v>147</v>
      </c>
      <c r="D42" s="1">
        <v>1</v>
      </c>
      <c r="E42" s="3">
        <v>50200</v>
      </c>
      <c r="F42" s="3"/>
      <c r="G42" s="4" t="s">
        <v>67</v>
      </c>
      <c r="H42" s="1">
        <v>911</v>
      </c>
      <c r="I42" s="1">
        <v>937</v>
      </c>
      <c r="J42">
        <f t="shared" si="0"/>
        <v>937</v>
      </c>
    </row>
    <row r="43" spans="1:16" x14ac:dyDescent="0.3">
      <c r="A43" s="1" t="s">
        <v>142</v>
      </c>
      <c r="B43" s="2" t="s">
        <v>148</v>
      </c>
      <c r="C43" s="1" t="s">
        <v>147</v>
      </c>
      <c r="D43" s="1">
        <v>1</v>
      </c>
      <c r="E43" s="3">
        <v>50200</v>
      </c>
      <c r="F43" s="3"/>
      <c r="G43" s="4" t="s">
        <v>67</v>
      </c>
      <c r="H43" s="1">
        <v>911</v>
      </c>
      <c r="I43" s="1">
        <v>937</v>
      </c>
      <c r="J43">
        <f t="shared" si="0"/>
        <v>937</v>
      </c>
    </row>
    <row r="44" spans="1:16" x14ac:dyDescent="0.3">
      <c r="A44" s="1" t="s">
        <v>228</v>
      </c>
      <c r="B44" s="2" t="s">
        <v>239</v>
      </c>
      <c r="C44" s="1" t="s">
        <v>240</v>
      </c>
      <c r="D44" s="1">
        <v>1</v>
      </c>
      <c r="E44" s="3">
        <v>120500</v>
      </c>
      <c r="F44" s="3"/>
      <c r="G44" s="4" t="s">
        <v>67</v>
      </c>
      <c r="H44" s="1">
        <v>911</v>
      </c>
      <c r="I44" s="1">
        <v>937</v>
      </c>
      <c r="J44">
        <f t="shared" si="0"/>
        <v>937</v>
      </c>
    </row>
    <row r="45" spans="1:16" x14ac:dyDescent="0.3">
      <c r="A45" s="1" t="s">
        <v>215</v>
      </c>
      <c r="B45" s="2" t="s">
        <v>224</v>
      </c>
      <c r="C45" s="1" t="s">
        <v>219</v>
      </c>
      <c r="D45" s="1">
        <v>1</v>
      </c>
      <c r="E45" s="3">
        <v>26000</v>
      </c>
      <c r="F45" s="3"/>
      <c r="G45" s="4" t="s">
        <v>225</v>
      </c>
      <c r="H45" s="1">
        <v>640</v>
      </c>
      <c r="I45" s="1">
        <v>938</v>
      </c>
      <c r="J45">
        <f t="shared" si="0"/>
        <v>938</v>
      </c>
    </row>
    <row r="46" spans="1:16" x14ac:dyDescent="0.3">
      <c r="A46" s="1" t="s">
        <v>0</v>
      </c>
      <c r="B46" s="2" t="s">
        <v>1</v>
      </c>
      <c r="C46" s="1" t="s">
        <v>2</v>
      </c>
      <c r="D46" s="1">
        <v>1</v>
      </c>
      <c r="E46" s="3">
        <v>0</v>
      </c>
      <c r="F46" s="3">
        <f>D46*E46</f>
        <v>0</v>
      </c>
      <c r="G46" s="4" t="s">
        <v>3</v>
      </c>
      <c r="H46" s="1">
        <v>912</v>
      </c>
      <c r="I46" s="1">
        <v>939</v>
      </c>
      <c r="J46">
        <f t="shared" si="0"/>
        <v>939</v>
      </c>
    </row>
    <row r="47" spans="1:16" x14ac:dyDescent="0.3">
      <c r="A47" s="1" t="s">
        <v>118</v>
      </c>
      <c r="B47" s="2" t="s">
        <v>138</v>
      </c>
      <c r="C47" s="1" t="s">
        <v>139</v>
      </c>
      <c r="D47" s="1">
        <v>1</v>
      </c>
      <c r="E47" s="3">
        <v>113000</v>
      </c>
      <c r="F47" s="3"/>
      <c r="G47" s="4" t="s">
        <v>3</v>
      </c>
      <c r="H47" s="1">
        <v>912</v>
      </c>
      <c r="I47" s="1">
        <v>939</v>
      </c>
      <c r="J47">
        <f t="shared" si="0"/>
        <v>939</v>
      </c>
    </row>
    <row r="48" spans="1:16" x14ac:dyDescent="0.3">
      <c r="A48" s="1" t="s">
        <v>156</v>
      </c>
      <c r="B48" s="2" t="s">
        <v>157</v>
      </c>
      <c r="C48" s="1" t="s">
        <v>158</v>
      </c>
      <c r="D48" s="1">
        <v>1</v>
      </c>
      <c r="E48" s="3">
        <v>18100</v>
      </c>
      <c r="F48" s="3"/>
      <c r="G48" s="4" t="s">
        <v>3</v>
      </c>
      <c r="H48" s="1">
        <v>912</v>
      </c>
      <c r="I48" s="1">
        <v>939</v>
      </c>
      <c r="J48">
        <f t="shared" si="0"/>
        <v>939</v>
      </c>
    </row>
    <row r="49" spans="1:10" x14ac:dyDescent="0.3">
      <c r="A49" s="1" t="s">
        <v>156</v>
      </c>
      <c r="B49" s="2" t="s">
        <v>159</v>
      </c>
      <c r="C49" s="1" t="s">
        <v>160</v>
      </c>
      <c r="D49" s="1">
        <v>1</v>
      </c>
      <c r="E49" s="3">
        <v>68000</v>
      </c>
      <c r="F49" s="3"/>
      <c r="G49" s="4" t="s">
        <v>3</v>
      </c>
      <c r="H49" s="1">
        <v>912</v>
      </c>
      <c r="I49" s="1">
        <v>939</v>
      </c>
      <c r="J49">
        <f t="shared" si="0"/>
        <v>939</v>
      </c>
    </row>
    <row r="50" spans="1:10" x14ac:dyDescent="0.3">
      <c r="A50" s="1" t="s">
        <v>156</v>
      </c>
      <c r="B50" s="2" t="s">
        <v>171</v>
      </c>
      <c r="C50" s="1" t="s">
        <v>172</v>
      </c>
      <c r="D50" s="1">
        <v>1</v>
      </c>
      <c r="E50" s="3">
        <v>43100</v>
      </c>
      <c r="F50" s="3"/>
      <c r="G50" s="4" t="s">
        <v>3</v>
      </c>
      <c r="H50" s="1">
        <v>912</v>
      </c>
      <c r="I50" s="1">
        <v>939</v>
      </c>
      <c r="J50">
        <f t="shared" si="0"/>
        <v>939</v>
      </c>
    </row>
    <row r="51" spans="1:10" x14ac:dyDescent="0.3">
      <c r="A51" s="1" t="s">
        <v>156</v>
      </c>
      <c r="B51" s="2" t="s">
        <v>173</v>
      </c>
      <c r="C51" s="1" t="s">
        <v>174</v>
      </c>
      <c r="D51" s="1">
        <v>1</v>
      </c>
      <c r="E51" s="3">
        <v>49200</v>
      </c>
      <c r="F51" s="3"/>
      <c r="G51" s="4" t="s">
        <v>175</v>
      </c>
      <c r="H51" s="1">
        <v>912</v>
      </c>
      <c r="I51" s="1">
        <v>939</v>
      </c>
      <c r="J51">
        <f t="shared" si="0"/>
        <v>939</v>
      </c>
    </row>
    <row r="52" spans="1:10" x14ac:dyDescent="0.3">
      <c r="A52" s="1" t="s">
        <v>96</v>
      </c>
      <c r="B52" s="2" t="s">
        <v>97</v>
      </c>
      <c r="C52" s="1" t="s">
        <v>98</v>
      </c>
      <c r="D52" s="1">
        <v>1</v>
      </c>
      <c r="E52" s="3">
        <v>288500</v>
      </c>
      <c r="F52" s="3"/>
      <c r="G52" s="4" t="s">
        <v>99</v>
      </c>
      <c r="H52" s="1">
        <v>639</v>
      </c>
      <c r="I52" s="1">
        <v>940</v>
      </c>
      <c r="J52">
        <f t="shared" si="0"/>
        <v>940</v>
      </c>
    </row>
    <row r="53" spans="1:10" x14ac:dyDescent="0.3">
      <c r="A53" s="1" t="s">
        <v>78</v>
      </c>
      <c r="B53" s="2" t="s">
        <v>79</v>
      </c>
      <c r="C53" s="1" t="s">
        <v>80</v>
      </c>
      <c r="D53" s="1">
        <v>1</v>
      </c>
      <c r="E53" s="3">
        <v>25700</v>
      </c>
      <c r="F53" s="3"/>
      <c r="G53" s="4" t="s">
        <v>81</v>
      </c>
      <c r="H53" s="1">
        <v>648</v>
      </c>
      <c r="I53" s="1">
        <v>941</v>
      </c>
      <c r="J53">
        <f t="shared" si="0"/>
        <v>941</v>
      </c>
    </row>
    <row r="54" spans="1:10" x14ac:dyDescent="0.3">
      <c r="A54" s="1" t="s">
        <v>118</v>
      </c>
      <c r="B54" s="2" t="s">
        <v>119</v>
      </c>
      <c r="C54" s="1" t="s">
        <v>120</v>
      </c>
      <c r="D54" s="1">
        <v>1</v>
      </c>
      <c r="E54" s="3">
        <v>37700</v>
      </c>
      <c r="F54" s="3"/>
      <c r="G54" s="4" t="s">
        <v>121</v>
      </c>
      <c r="H54" s="1">
        <v>648</v>
      </c>
      <c r="I54" s="1">
        <v>941</v>
      </c>
      <c r="J54">
        <f t="shared" si="0"/>
        <v>941</v>
      </c>
    </row>
    <row r="55" spans="1:10" x14ac:dyDescent="0.3">
      <c r="A55" s="1" t="s">
        <v>156</v>
      </c>
      <c r="B55" s="2" t="s">
        <v>169</v>
      </c>
      <c r="C55" s="1" t="s">
        <v>170</v>
      </c>
      <c r="D55" s="1">
        <v>1</v>
      </c>
      <c r="E55" s="3">
        <v>71700</v>
      </c>
      <c r="F55" s="3"/>
      <c r="G55" s="4" t="s">
        <v>121</v>
      </c>
      <c r="H55" s="1">
        <v>648</v>
      </c>
      <c r="I55" s="1">
        <v>941</v>
      </c>
      <c r="J55">
        <f t="shared" si="0"/>
        <v>941</v>
      </c>
    </row>
    <row r="56" spans="1:10" x14ac:dyDescent="0.3">
      <c r="A56" s="1" t="s">
        <v>156</v>
      </c>
      <c r="B56" s="2" t="s">
        <v>187</v>
      </c>
      <c r="C56" s="1" t="s">
        <v>188</v>
      </c>
      <c r="D56" s="1">
        <v>1</v>
      </c>
      <c r="E56" s="3">
        <v>18900</v>
      </c>
      <c r="F56" s="3"/>
      <c r="G56" s="4" t="s">
        <v>121</v>
      </c>
      <c r="H56" s="1">
        <v>648</v>
      </c>
      <c r="I56" s="1">
        <v>941</v>
      </c>
      <c r="J56">
        <f t="shared" si="0"/>
        <v>941</v>
      </c>
    </row>
    <row r="57" spans="1:10" x14ac:dyDescent="0.3">
      <c r="A57" s="1" t="s">
        <v>156</v>
      </c>
      <c r="B57" s="2" t="s">
        <v>176</v>
      </c>
      <c r="C57" s="1" t="s">
        <v>177</v>
      </c>
      <c r="D57" s="1">
        <v>2</v>
      </c>
      <c r="E57" s="3">
        <v>118900</v>
      </c>
      <c r="F57" s="3"/>
      <c r="G57" s="4" t="s">
        <v>178</v>
      </c>
      <c r="H57" s="1">
        <v>754</v>
      </c>
      <c r="I57" s="1">
        <v>942</v>
      </c>
      <c r="J57">
        <f t="shared" si="0"/>
        <v>942</v>
      </c>
    </row>
    <row r="58" spans="1:10" x14ac:dyDescent="0.3">
      <c r="A58" s="1" t="s">
        <v>156</v>
      </c>
      <c r="B58" s="2" t="s">
        <v>201</v>
      </c>
      <c r="C58" s="1" t="s">
        <v>202</v>
      </c>
      <c r="D58" s="1">
        <v>1</v>
      </c>
      <c r="E58" s="3">
        <v>8400</v>
      </c>
      <c r="F58" s="3"/>
      <c r="G58" s="4" t="s">
        <v>178</v>
      </c>
      <c r="H58" s="1">
        <v>754</v>
      </c>
      <c r="I58" s="1">
        <v>942</v>
      </c>
      <c r="J58">
        <f t="shared" si="0"/>
        <v>942</v>
      </c>
    </row>
    <row r="59" spans="1:10" x14ac:dyDescent="0.3">
      <c r="A59" s="1" t="s">
        <v>156</v>
      </c>
      <c r="B59" s="2" t="s">
        <v>207</v>
      </c>
      <c r="C59" s="1" t="s">
        <v>208</v>
      </c>
      <c r="D59" s="1">
        <v>1</v>
      </c>
      <c r="E59" s="3">
        <v>34700</v>
      </c>
      <c r="F59" s="3"/>
      <c r="G59" s="4" t="s">
        <v>178</v>
      </c>
      <c r="H59" s="1">
        <v>754</v>
      </c>
      <c r="I59" s="1">
        <v>942</v>
      </c>
      <c r="J59">
        <f t="shared" si="0"/>
        <v>942</v>
      </c>
    </row>
    <row r="60" spans="1:10" x14ac:dyDescent="0.3">
      <c r="A60" s="1" t="s">
        <v>228</v>
      </c>
      <c r="B60" s="2" t="s">
        <v>229</v>
      </c>
      <c r="C60" s="1" t="s">
        <v>230</v>
      </c>
      <c r="D60" s="1">
        <v>1</v>
      </c>
      <c r="E60" s="3">
        <v>8700</v>
      </c>
      <c r="F60" s="3"/>
      <c r="G60" s="4" t="s">
        <v>178</v>
      </c>
      <c r="H60" s="1">
        <v>754</v>
      </c>
      <c r="I60" s="1">
        <v>942</v>
      </c>
      <c r="J60">
        <f t="shared" si="0"/>
        <v>942</v>
      </c>
    </row>
    <row r="61" spans="1:10" x14ac:dyDescent="0.3">
      <c r="A61" s="1" t="s">
        <v>228</v>
      </c>
      <c r="B61" s="2" t="s">
        <v>231</v>
      </c>
      <c r="C61" s="1" t="s">
        <v>232</v>
      </c>
      <c r="D61" s="1">
        <v>1</v>
      </c>
      <c r="E61" s="3">
        <v>9700</v>
      </c>
      <c r="F61" s="3"/>
      <c r="G61" s="4" t="s">
        <v>178</v>
      </c>
      <c r="H61" s="1">
        <v>754</v>
      </c>
      <c r="I61" s="1">
        <v>942</v>
      </c>
      <c r="J61">
        <f t="shared" si="0"/>
        <v>942</v>
      </c>
    </row>
    <row r="62" spans="1:10" x14ac:dyDescent="0.3">
      <c r="A62" s="1" t="s">
        <v>228</v>
      </c>
      <c r="B62" s="2" t="s">
        <v>233</v>
      </c>
      <c r="C62" s="1" t="s">
        <v>234</v>
      </c>
      <c r="D62" s="1">
        <v>1</v>
      </c>
      <c r="E62" s="3">
        <v>9700</v>
      </c>
      <c r="F62" s="3"/>
      <c r="G62" s="4" t="s">
        <v>178</v>
      </c>
      <c r="H62" s="1">
        <v>754</v>
      </c>
      <c r="I62" s="1">
        <v>942</v>
      </c>
      <c r="J62">
        <f t="shared" si="0"/>
        <v>942</v>
      </c>
    </row>
    <row r="63" spans="1:10" x14ac:dyDescent="0.3">
      <c r="A63" s="1" t="s">
        <v>228</v>
      </c>
      <c r="B63" s="2" t="s">
        <v>241</v>
      </c>
      <c r="C63" s="1" t="s">
        <v>242</v>
      </c>
      <c r="D63" s="1">
        <v>1</v>
      </c>
      <c r="E63" s="3">
        <v>52000</v>
      </c>
      <c r="F63" s="3"/>
      <c r="G63" s="4" t="s">
        <v>178</v>
      </c>
      <c r="H63" s="1">
        <v>754</v>
      </c>
      <c r="I63" s="1">
        <v>942</v>
      </c>
      <c r="J63">
        <f t="shared" si="0"/>
        <v>942</v>
      </c>
    </row>
    <row r="64" spans="1:10" x14ac:dyDescent="0.3">
      <c r="A64" s="1" t="s">
        <v>228</v>
      </c>
      <c r="B64" s="2" t="s">
        <v>243</v>
      </c>
      <c r="C64" s="1" t="s">
        <v>244</v>
      </c>
      <c r="D64" s="1">
        <v>1</v>
      </c>
      <c r="E64" s="3">
        <v>12600</v>
      </c>
      <c r="F64" s="3"/>
      <c r="G64" s="4" t="s">
        <v>245</v>
      </c>
      <c r="H64" s="1">
        <v>754</v>
      </c>
      <c r="I64" s="1">
        <v>942</v>
      </c>
      <c r="J64">
        <f t="shared" si="0"/>
        <v>942</v>
      </c>
    </row>
    <row r="65" spans="1:10" x14ac:dyDescent="0.3">
      <c r="A65" s="1" t="s">
        <v>8</v>
      </c>
      <c r="B65" s="2" t="s">
        <v>15</v>
      </c>
      <c r="C65" s="1" t="s">
        <v>16</v>
      </c>
      <c r="D65" s="1">
        <v>1</v>
      </c>
      <c r="E65" s="3">
        <v>78400</v>
      </c>
      <c r="F65" s="3"/>
      <c r="G65" s="4" t="s">
        <v>17</v>
      </c>
      <c r="H65" s="1">
        <v>913</v>
      </c>
      <c r="I65" s="1">
        <v>943</v>
      </c>
      <c r="J65">
        <f t="shared" si="0"/>
        <v>943</v>
      </c>
    </row>
    <row r="66" spans="1:10" x14ac:dyDescent="0.3">
      <c r="A66" s="1" t="s">
        <v>34</v>
      </c>
      <c r="B66" s="2" t="s">
        <v>35</v>
      </c>
      <c r="C66" s="1" t="s">
        <v>22</v>
      </c>
      <c r="D66" s="1">
        <v>1</v>
      </c>
      <c r="E66" s="3">
        <v>68400</v>
      </c>
      <c r="F66" s="3"/>
      <c r="G66" s="4" t="s">
        <v>36</v>
      </c>
      <c r="H66" s="1">
        <v>913</v>
      </c>
      <c r="I66" s="1">
        <v>943</v>
      </c>
      <c r="J66">
        <f t="shared" si="0"/>
        <v>943</v>
      </c>
    </row>
    <row r="67" spans="1:10" x14ac:dyDescent="0.3">
      <c r="A67" s="1" t="s">
        <v>34</v>
      </c>
      <c r="B67" s="2" t="s">
        <v>37</v>
      </c>
      <c r="C67" s="1"/>
      <c r="D67" s="1">
        <v>1</v>
      </c>
      <c r="E67" s="3">
        <v>0</v>
      </c>
      <c r="F67" s="3"/>
      <c r="G67" s="4" t="s">
        <v>36</v>
      </c>
      <c r="H67" s="1">
        <v>913</v>
      </c>
      <c r="I67" s="1">
        <v>943</v>
      </c>
      <c r="J67">
        <f t="shared" ref="J67:J116" si="1">VLOOKUP(G67, $N$3:$O$21, 2, FALSE)</f>
        <v>943</v>
      </c>
    </row>
    <row r="68" spans="1:10" x14ac:dyDescent="0.3">
      <c r="A68" s="1" t="s">
        <v>34</v>
      </c>
      <c r="B68" s="2" t="s">
        <v>38</v>
      </c>
      <c r="C68" s="1"/>
      <c r="D68" s="1">
        <v>1</v>
      </c>
      <c r="E68" s="3">
        <v>0</v>
      </c>
      <c r="F68" s="3"/>
      <c r="G68" s="4" t="s">
        <v>36</v>
      </c>
      <c r="H68" s="1">
        <v>913</v>
      </c>
      <c r="I68" s="1">
        <v>943</v>
      </c>
      <c r="J68">
        <f t="shared" si="1"/>
        <v>943</v>
      </c>
    </row>
    <row r="69" spans="1:10" x14ac:dyDescent="0.3">
      <c r="A69" s="1" t="s">
        <v>78</v>
      </c>
      <c r="B69" s="2" t="s">
        <v>84</v>
      </c>
      <c r="C69" s="1" t="s">
        <v>77</v>
      </c>
      <c r="D69" s="1">
        <v>1</v>
      </c>
      <c r="E69" s="3">
        <v>40100</v>
      </c>
      <c r="F69" s="3"/>
      <c r="G69" s="4" t="s">
        <v>36</v>
      </c>
      <c r="H69" s="1">
        <v>913</v>
      </c>
      <c r="I69" s="1">
        <v>943</v>
      </c>
      <c r="J69">
        <f t="shared" si="1"/>
        <v>943</v>
      </c>
    </row>
    <row r="70" spans="1:10" x14ac:dyDescent="0.3">
      <c r="A70" s="1" t="s">
        <v>78</v>
      </c>
      <c r="B70" s="2" t="s">
        <v>85</v>
      </c>
      <c r="C70" s="1" t="s">
        <v>22</v>
      </c>
      <c r="D70" s="1">
        <v>1</v>
      </c>
      <c r="E70" s="3">
        <v>39700</v>
      </c>
      <c r="F70" s="3"/>
      <c r="G70" s="4" t="s">
        <v>36</v>
      </c>
      <c r="H70" s="1">
        <v>913</v>
      </c>
      <c r="I70" s="1">
        <v>943</v>
      </c>
      <c r="J70">
        <f t="shared" si="1"/>
        <v>943</v>
      </c>
    </row>
    <row r="71" spans="1:10" x14ac:dyDescent="0.3">
      <c r="A71" s="1" t="s">
        <v>118</v>
      </c>
      <c r="B71" s="2" t="s">
        <v>140</v>
      </c>
      <c r="C71" s="1" t="s">
        <v>141</v>
      </c>
      <c r="D71" s="1">
        <v>1</v>
      </c>
      <c r="E71" s="3">
        <v>44500</v>
      </c>
      <c r="F71" s="3"/>
      <c r="G71" s="4" t="s">
        <v>36</v>
      </c>
      <c r="H71" s="1">
        <v>913</v>
      </c>
      <c r="I71" s="1">
        <v>943</v>
      </c>
      <c r="J71">
        <f t="shared" si="1"/>
        <v>943</v>
      </c>
    </row>
    <row r="72" spans="1:10" x14ac:dyDescent="0.3">
      <c r="A72" s="1" t="s">
        <v>142</v>
      </c>
      <c r="B72" s="2" t="s">
        <v>149</v>
      </c>
      <c r="C72" s="1" t="s">
        <v>150</v>
      </c>
      <c r="D72" s="1">
        <v>1</v>
      </c>
      <c r="E72" s="3">
        <v>47800</v>
      </c>
      <c r="F72" s="3"/>
      <c r="G72" s="4" t="s">
        <v>36</v>
      </c>
      <c r="H72" s="1">
        <v>913</v>
      </c>
      <c r="I72" s="1">
        <v>943</v>
      </c>
      <c r="J72">
        <f t="shared" si="1"/>
        <v>943</v>
      </c>
    </row>
    <row r="73" spans="1:10" x14ac:dyDescent="0.3">
      <c r="A73" s="1" t="s">
        <v>156</v>
      </c>
      <c r="B73" s="2" t="s">
        <v>161</v>
      </c>
      <c r="C73" s="1" t="s">
        <v>162</v>
      </c>
      <c r="D73" s="1">
        <v>1</v>
      </c>
      <c r="E73" s="3">
        <v>124000</v>
      </c>
      <c r="F73" s="3"/>
      <c r="G73" s="4" t="s">
        <v>36</v>
      </c>
      <c r="H73" s="1">
        <v>913</v>
      </c>
      <c r="I73" s="1">
        <v>943</v>
      </c>
      <c r="J73">
        <f t="shared" si="1"/>
        <v>943</v>
      </c>
    </row>
    <row r="74" spans="1:10" x14ac:dyDescent="0.3">
      <c r="A74" s="1" t="s">
        <v>156</v>
      </c>
      <c r="B74" s="2" t="s">
        <v>163</v>
      </c>
      <c r="C74" s="1" t="s">
        <v>164</v>
      </c>
      <c r="D74" s="1">
        <v>1</v>
      </c>
      <c r="E74" s="3">
        <v>52000</v>
      </c>
      <c r="F74" s="3"/>
      <c r="G74" s="4" t="s">
        <v>36</v>
      </c>
      <c r="H74" s="1">
        <v>913</v>
      </c>
      <c r="I74" s="1">
        <v>943</v>
      </c>
      <c r="J74">
        <f t="shared" si="1"/>
        <v>943</v>
      </c>
    </row>
    <row r="75" spans="1:10" x14ac:dyDescent="0.3">
      <c r="A75" s="1" t="s">
        <v>156</v>
      </c>
      <c r="B75" s="2" t="s">
        <v>205</v>
      </c>
      <c r="C75" s="1" t="s">
        <v>206</v>
      </c>
      <c r="D75" s="1">
        <v>1</v>
      </c>
      <c r="E75" s="3">
        <v>69800</v>
      </c>
      <c r="F75" s="3"/>
      <c r="G75" s="4" t="s">
        <v>36</v>
      </c>
      <c r="H75" s="1">
        <v>913</v>
      </c>
      <c r="I75" s="1">
        <v>943</v>
      </c>
      <c r="J75">
        <f t="shared" si="1"/>
        <v>943</v>
      </c>
    </row>
    <row r="76" spans="1:10" x14ac:dyDescent="0.3">
      <c r="A76" s="1" t="s">
        <v>228</v>
      </c>
      <c r="B76" s="2" t="s">
        <v>239</v>
      </c>
      <c r="C76" s="1" t="s">
        <v>240</v>
      </c>
      <c r="D76" s="1">
        <v>1</v>
      </c>
      <c r="E76" s="3">
        <v>120500</v>
      </c>
      <c r="F76" s="3"/>
      <c r="G76" s="4" t="s">
        <v>36</v>
      </c>
      <c r="H76" s="1">
        <v>913</v>
      </c>
      <c r="I76" s="1">
        <v>943</v>
      </c>
      <c r="J76">
        <f t="shared" si="1"/>
        <v>943</v>
      </c>
    </row>
    <row r="77" spans="1:10" x14ac:dyDescent="0.3">
      <c r="A77" s="1" t="s">
        <v>96</v>
      </c>
      <c r="B77" s="2" t="s">
        <v>105</v>
      </c>
      <c r="C77" s="1" t="s">
        <v>106</v>
      </c>
      <c r="D77" s="1">
        <v>1</v>
      </c>
      <c r="E77" s="3">
        <v>9700</v>
      </c>
      <c r="F77" s="3"/>
      <c r="G77" s="4" t="s">
        <v>107</v>
      </c>
      <c r="H77" s="1">
        <v>914</v>
      </c>
      <c r="I77" s="1">
        <v>944</v>
      </c>
      <c r="J77">
        <f t="shared" si="1"/>
        <v>944</v>
      </c>
    </row>
    <row r="78" spans="1:10" x14ac:dyDescent="0.3">
      <c r="A78" s="1" t="s">
        <v>96</v>
      </c>
      <c r="B78" s="2" t="s">
        <v>108</v>
      </c>
      <c r="C78" s="1" t="s">
        <v>109</v>
      </c>
      <c r="D78" s="1">
        <v>1</v>
      </c>
      <c r="E78" s="3">
        <v>22600</v>
      </c>
      <c r="F78" s="3"/>
      <c r="G78" s="4" t="s">
        <v>107</v>
      </c>
      <c r="H78" s="1">
        <v>914</v>
      </c>
      <c r="I78" s="1">
        <v>944</v>
      </c>
      <c r="J78">
        <f t="shared" si="1"/>
        <v>944</v>
      </c>
    </row>
    <row r="79" spans="1:10" x14ac:dyDescent="0.3">
      <c r="A79" s="1" t="s">
        <v>96</v>
      </c>
      <c r="B79" s="2" t="s">
        <v>110</v>
      </c>
      <c r="C79" s="1" t="s">
        <v>111</v>
      </c>
      <c r="D79" s="1">
        <v>2</v>
      </c>
      <c r="E79" s="3">
        <v>14400</v>
      </c>
      <c r="F79" s="3"/>
      <c r="G79" s="4" t="s">
        <v>107</v>
      </c>
      <c r="H79" s="1">
        <v>914</v>
      </c>
      <c r="I79" s="1">
        <v>944</v>
      </c>
      <c r="J79">
        <f t="shared" si="1"/>
        <v>944</v>
      </c>
    </row>
    <row r="80" spans="1:10" x14ac:dyDescent="0.3">
      <c r="A80" s="1" t="s">
        <v>142</v>
      </c>
      <c r="B80" s="2" t="s">
        <v>151</v>
      </c>
      <c r="C80" s="1" t="s">
        <v>77</v>
      </c>
      <c r="D80" s="1">
        <v>1</v>
      </c>
      <c r="E80" s="3">
        <v>24400</v>
      </c>
      <c r="F80" s="3"/>
      <c r="G80" s="4" t="s">
        <v>152</v>
      </c>
      <c r="H80" s="1">
        <v>914</v>
      </c>
      <c r="I80" s="1">
        <v>944</v>
      </c>
      <c r="J80">
        <f t="shared" si="1"/>
        <v>944</v>
      </c>
    </row>
    <row r="81" spans="1:10" x14ac:dyDescent="0.3">
      <c r="A81" s="1" t="s">
        <v>142</v>
      </c>
      <c r="B81" s="2" t="s">
        <v>153</v>
      </c>
      <c r="C81" s="1" t="s">
        <v>22</v>
      </c>
      <c r="D81" s="1">
        <v>1</v>
      </c>
      <c r="E81" s="3">
        <v>24400</v>
      </c>
      <c r="F81" s="3"/>
      <c r="G81" s="4" t="s">
        <v>107</v>
      </c>
      <c r="H81" s="1">
        <v>914</v>
      </c>
      <c r="I81" s="1">
        <v>944</v>
      </c>
      <c r="J81">
        <f t="shared" si="1"/>
        <v>944</v>
      </c>
    </row>
    <row r="82" spans="1:10" x14ac:dyDescent="0.3">
      <c r="A82" s="1" t="s">
        <v>156</v>
      </c>
      <c r="B82" s="2" t="s">
        <v>179</v>
      </c>
      <c r="C82" s="1" t="s">
        <v>180</v>
      </c>
      <c r="D82" s="1">
        <v>1</v>
      </c>
      <c r="E82" s="3">
        <v>50900</v>
      </c>
      <c r="F82" s="3"/>
      <c r="G82" s="4" t="s">
        <v>107</v>
      </c>
      <c r="H82" s="1">
        <v>914</v>
      </c>
      <c r="I82" s="1">
        <v>944</v>
      </c>
      <c r="J82">
        <f t="shared" si="1"/>
        <v>944</v>
      </c>
    </row>
    <row r="83" spans="1:10" x14ac:dyDescent="0.3">
      <c r="A83" s="1" t="s">
        <v>156</v>
      </c>
      <c r="B83" s="2" t="s">
        <v>181</v>
      </c>
      <c r="C83" s="1" t="s">
        <v>182</v>
      </c>
      <c r="D83" s="1">
        <v>1</v>
      </c>
      <c r="E83" s="3">
        <v>24200</v>
      </c>
      <c r="F83" s="3"/>
      <c r="G83" s="4" t="s">
        <v>107</v>
      </c>
      <c r="H83" s="1">
        <v>914</v>
      </c>
      <c r="I83" s="1">
        <v>944</v>
      </c>
      <c r="J83">
        <f t="shared" si="1"/>
        <v>944</v>
      </c>
    </row>
    <row r="84" spans="1:10" x14ac:dyDescent="0.3">
      <c r="A84" s="1" t="s">
        <v>156</v>
      </c>
      <c r="B84" s="2" t="s">
        <v>183</v>
      </c>
      <c r="C84" s="1" t="s">
        <v>184</v>
      </c>
      <c r="D84" s="1">
        <v>1</v>
      </c>
      <c r="E84" s="3">
        <v>14900</v>
      </c>
      <c r="F84" s="3"/>
      <c r="G84" s="4" t="s">
        <v>107</v>
      </c>
      <c r="H84" s="1">
        <v>914</v>
      </c>
      <c r="I84" s="1">
        <v>944</v>
      </c>
      <c r="J84">
        <f t="shared" si="1"/>
        <v>944</v>
      </c>
    </row>
    <row r="85" spans="1:10" x14ac:dyDescent="0.3">
      <c r="A85" s="1" t="s">
        <v>215</v>
      </c>
      <c r="B85" s="2" t="s">
        <v>216</v>
      </c>
      <c r="C85" s="1" t="s">
        <v>217</v>
      </c>
      <c r="D85" s="1">
        <v>1</v>
      </c>
      <c r="E85" s="3">
        <v>45000</v>
      </c>
      <c r="F85" s="3"/>
      <c r="G85" s="4" t="s">
        <v>107</v>
      </c>
      <c r="H85" s="1">
        <v>914</v>
      </c>
      <c r="I85" s="1">
        <v>944</v>
      </c>
      <c r="J85">
        <f t="shared" si="1"/>
        <v>944</v>
      </c>
    </row>
    <row r="86" spans="1:10" x14ac:dyDescent="0.3">
      <c r="A86" s="1" t="s">
        <v>8</v>
      </c>
      <c r="B86" s="2" t="s">
        <v>18</v>
      </c>
      <c r="C86" s="1" t="s">
        <v>19</v>
      </c>
      <c r="D86" s="1">
        <v>1</v>
      </c>
      <c r="E86" s="3">
        <v>41600</v>
      </c>
      <c r="F86" s="3"/>
      <c r="G86" s="4" t="s">
        <v>20</v>
      </c>
      <c r="H86" s="1">
        <v>915</v>
      </c>
      <c r="I86" s="1">
        <v>945</v>
      </c>
      <c r="J86">
        <f t="shared" si="1"/>
        <v>945</v>
      </c>
    </row>
    <row r="87" spans="1:10" x14ac:dyDescent="0.3">
      <c r="A87" s="1" t="s">
        <v>24</v>
      </c>
      <c r="B87" s="2" t="s">
        <v>32</v>
      </c>
      <c r="C87" s="1" t="s">
        <v>33</v>
      </c>
      <c r="D87" s="1">
        <v>1</v>
      </c>
      <c r="E87" s="3">
        <v>191200</v>
      </c>
      <c r="F87" s="3"/>
      <c r="G87" s="4" t="s">
        <v>20</v>
      </c>
      <c r="H87" s="1">
        <v>915</v>
      </c>
      <c r="I87" s="1">
        <v>945</v>
      </c>
      <c r="J87">
        <f t="shared" si="1"/>
        <v>945</v>
      </c>
    </row>
    <row r="88" spans="1:10" x14ac:dyDescent="0.3">
      <c r="A88" s="1" t="s">
        <v>34</v>
      </c>
      <c r="B88" s="2" t="s">
        <v>39</v>
      </c>
      <c r="C88" s="1" t="s">
        <v>40</v>
      </c>
      <c r="D88" s="1">
        <v>1</v>
      </c>
      <c r="E88" s="3">
        <v>0</v>
      </c>
      <c r="F88" s="3"/>
      <c r="G88" s="4" t="s">
        <v>20</v>
      </c>
      <c r="H88" s="1">
        <v>915</v>
      </c>
      <c r="I88" s="1">
        <v>945</v>
      </c>
      <c r="J88">
        <f t="shared" si="1"/>
        <v>945</v>
      </c>
    </row>
    <row r="89" spans="1:10" x14ac:dyDescent="0.3">
      <c r="A89" s="1" t="s">
        <v>41</v>
      </c>
      <c r="B89" s="2" t="s">
        <v>70</v>
      </c>
      <c r="C89" s="1" t="s">
        <v>22</v>
      </c>
      <c r="D89" s="1">
        <v>1</v>
      </c>
      <c r="E89" s="3">
        <v>7000</v>
      </c>
      <c r="F89" s="3"/>
      <c r="G89" s="4" t="s">
        <v>20</v>
      </c>
      <c r="H89" s="1">
        <v>915</v>
      </c>
      <c r="I89" s="1">
        <v>945</v>
      </c>
      <c r="J89">
        <f t="shared" si="1"/>
        <v>945</v>
      </c>
    </row>
    <row r="90" spans="1:10" x14ac:dyDescent="0.3">
      <c r="A90" s="1" t="s">
        <v>41</v>
      </c>
      <c r="B90" s="2" t="s">
        <v>71</v>
      </c>
      <c r="C90" s="1" t="s">
        <v>72</v>
      </c>
      <c r="D90" s="1">
        <v>1</v>
      </c>
      <c r="E90" s="3">
        <v>17400</v>
      </c>
      <c r="F90" s="3"/>
      <c r="G90" s="4" t="s">
        <v>20</v>
      </c>
      <c r="H90" s="1">
        <v>915</v>
      </c>
      <c r="I90" s="1">
        <v>945</v>
      </c>
      <c r="J90">
        <f t="shared" si="1"/>
        <v>945</v>
      </c>
    </row>
    <row r="91" spans="1:10" x14ac:dyDescent="0.3">
      <c r="A91" s="1" t="s">
        <v>78</v>
      </c>
      <c r="B91" s="2" t="s">
        <v>86</v>
      </c>
      <c r="C91" s="1" t="s">
        <v>87</v>
      </c>
      <c r="D91" s="1">
        <v>1</v>
      </c>
      <c r="E91" s="3">
        <v>25700</v>
      </c>
      <c r="F91" s="3"/>
      <c r="G91" s="4" t="s">
        <v>20</v>
      </c>
      <c r="H91" s="1">
        <v>915</v>
      </c>
      <c r="I91" s="1">
        <v>945</v>
      </c>
      <c r="J91">
        <f t="shared" si="1"/>
        <v>945</v>
      </c>
    </row>
    <row r="92" spans="1:10" x14ac:dyDescent="0.3">
      <c r="A92" s="1" t="s">
        <v>156</v>
      </c>
      <c r="B92" s="2" t="s">
        <v>183</v>
      </c>
      <c r="C92" s="1" t="s">
        <v>184</v>
      </c>
      <c r="D92" s="1">
        <v>1</v>
      </c>
      <c r="E92" s="3">
        <v>14900</v>
      </c>
      <c r="F92" s="3"/>
      <c r="G92" s="4" t="s">
        <v>20</v>
      </c>
      <c r="H92" s="1">
        <v>915</v>
      </c>
      <c r="I92" s="1">
        <v>945</v>
      </c>
      <c r="J92">
        <f t="shared" si="1"/>
        <v>945</v>
      </c>
    </row>
    <row r="93" spans="1:10" x14ac:dyDescent="0.3">
      <c r="A93" s="1" t="s">
        <v>156</v>
      </c>
      <c r="B93" s="2" t="s">
        <v>185</v>
      </c>
      <c r="C93" s="1" t="s">
        <v>186</v>
      </c>
      <c r="D93" s="1">
        <v>1</v>
      </c>
      <c r="E93" s="3">
        <v>35400</v>
      </c>
      <c r="F93" s="3"/>
      <c r="G93" s="4" t="s">
        <v>20</v>
      </c>
      <c r="H93" s="1">
        <v>915</v>
      </c>
      <c r="I93" s="1">
        <v>945</v>
      </c>
      <c r="J93">
        <f t="shared" si="1"/>
        <v>945</v>
      </c>
    </row>
    <row r="94" spans="1:10" x14ac:dyDescent="0.3">
      <c r="A94" s="1" t="s">
        <v>41</v>
      </c>
      <c r="B94" s="2" t="s">
        <v>73</v>
      </c>
      <c r="C94" s="1" t="s">
        <v>74</v>
      </c>
      <c r="D94" s="1">
        <v>1</v>
      </c>
      <c r="E94" s="3">
        <v>16500</v>
      </c>
      <c r="F94" s="3"/>
      <c r="G94" s="4" t="s">
        <v>75</v>
      </c>
      <c r="H94" s="1">
        <v>916</v>
      </c>
      <c r="I94" s="1">
        <v>946</v>
      </c>
      <c r="J94">
        <f t="shared" si="1"/>
        <v>946</v>
      </c>
    </row>
    <row r="95" spans="1:10" x14ac:dyDescent="0.3">
      <c r="A95" s="1" t="s">
        <v>78</v>
      </c>
      <c r="B95" s="2" t="s">
        <v>88</v>
      </c>
      <c r="C95" s="1" t="s">
        <v>77</v>
      </c>
      <c r="D95" s="1">
        <v>1</v>
      </c>
      <c r="E95" s="3">
        <v>18000</v>
      </c>
      <c r="F95" s="3"/>
      <c r="G95" s="4" t="s">
        <v>75</v>
      </c>
      <c r="H95" s="1">
        <v>916</v>
      </c>
      <c r="I95" s="1">
        <v>946</v>
      </c>
      <c r="J95">
        <f t="shared" si="1"/>
        <v>946</v>
      </c>
    </row>
    <row r="96" spans="1:10" x14ac:dyDescent="0.3">
      <c r="A96" s="1" t="s">
        <v>78</v>
      </c>
      <c r="B96" s="2" t="s">
        <v>89</v>
      </c>
      <c r="C96" s="1" t="s">
        <v>90</v>
      </c>
      <c r="D96" s="1">
        <v>1</v>
      </c>
      <c r="E96" s="3">
        <v>21000</v>
      </c>
      <c r="F96" s="3"/>
      <c r="G96" s="4" t="s">
        <v>75</v>
      </c>
      <c r="H96" s="1">
        <v>916</v>
      </c>
      <c r="I96" s="1">
        <v>946</v>
      </c>
      <c r="J96">
        <f t="shared" si="1"/>
        <v>946</v>
      </c>
    </row>
    <row r="97" spans="1:10" x14ac:dyDescent="0.3">
      <c r="A97" s="1" t="s">
        <v>78</v>
      </c>
      <c r="B97" s="2" t="s">
        <v>91</v>
      </c>
      <c r="C97" s="1" t="s">
        <v>92</v>
      </c>
      <c r="D97" s="1">
        <v>1</v>
      </c>
      <c r="E97" s="3">
        <v>88800</v>
      </c>
      <c r="F97" s="3"/>
      <c r="G97" s="4" t="s">
        <v>75</v>
      </c>
      <c r="H97" s="1">
        <v>916</v>
      </c>
      <c r="I97" s="1">
        <v>946</v>
      </c>
      <c r="J97">
        <f t="shared" si="1"/>
        <v>946</v>
      </c>
    </row>
    <row r="98" spans="1:10" x14ac:dyDescent="0.3">
      <c r="A98" s="1" t="s">
        <v>96</v>
      </c>
      <c r="B98" s="2" t="s">
        <v>112</v>
      </c>
      <c r="C98" s="1" t="s">
        <v>113</v>
      </c>
      <c r="D98" s="1">
        <v>1</v>
      </c>
      <c r="E98" s="3">
        <v>26200</v>
      </c>
      <c r="F98" s="3"/>
      <c r="G98" s="4" t="s">
        <v>75</v>
      </c>
      <c r="H98" s="1">
        <v>916</v>
      </c>
      <c r="I98" s="1">
        <v>946</v>
      </c>
      <c r="J98">
        <f t="shared" si="1"/>
        <v>946</v>
      </c>
    </row>
    <row r="99" spans="1:10" x14ac:dyDescent="0.3">
      <c r="A99" s="1" t="s">
        <v>96</v>
      </c>
      <c r="B99" s="2" t="s">
        <v>114</v>
      </c>
      <c r="C99" s="1" t="s">
        <v>115</v>
      </c>
      <c r="D99" s="1">
        <v>1</v>
      </c>
      <c r="E99" s="3">
        <v>44300</v>
      </c>
      <c r="F99" s="3"/>
      <c r="G99" s="4" t="s">
        <v>75</v>
      </c>
      <c r="H99" s="1">
        <v>916</v>
      </c>
      <c r="I99" s="1">
        <v>946</v>
      </c>
      <c r="J99">
        <f t="shared" si="1"/>
        <v>946</v>
      </c>
    </row>
    <row r="100" spans="1:10" x14ac:dyDescent="0.3">
      <c r="A100" s="1" t="s">
        <v>96</v>
      </c>
      <c r="B100" s="2" t="s">
        <v>116</v>
      </c>
      <c r="C100" s="1" t="s">
        <v>117</v>
      </c>
      <c r="D100" s="1">
        <v>1</v>
      </c>
      <c r="E100" s="3">
        <v>9700</v>
      </c>
      <c r="F100" s="3"/>
      <c r="G100" s="4" t="s">
        <v>75</v>
      </c>
      <c r="H100" s="1">
        <v>916</v>
      </c>
      <c r="I100" s="1">
        <v>946</v>
      </c>
      <c r="J100">
        <f t="shared" si="1"/>
        <v>946</v>
      </c>
    </row>
    <row r="101" spans="1:10" x14ac:dyDescent="0.3">
      <c r="A101" s="1" t="s">
        <v>142</v>
      </c>
      <c r="B101" s="2" t="s">
        <v>154</v>
      </c>
      <c r="C101" s="1" t="s">
        <v>155</v>
      </c>
      <c r="D101" s="1">
        <v>1</v>
      </c>
      <c r="E101" s="3">
        <v>29200</v>
      </c>
      <c r="F101" s="3"/>
      <c r="G101" s="4" t="s">
        <v>75</v>
      </c>
      <c r="H101" s="1">
        <v>916</v>
      </c>
      <c r="I101" s="1">
        <v>946</v>
      </c>
      <c r="J101">
        <f t="shared" si="1"/>
        <v>946</v>
      </c>
    </row>
    <row r="102" spans="1:10" x14ac:dyDescent="0.3">
      <c r="A102" s="1" t="s">
        <v>156</v>
      </c>
      <c r="B102" s="2" t="s">
        <v>197</v>
      </c>
      <c r="C102" s="1" t="s">
        <v>198</v>
      </c>
      <c r="D102" s="1">
        <v>1</v>
      </c>
      <c r="E102" s="3">
        <v>14000</v>
      </c>
      <c r="F102" s="3"/>
      <c r="G102" s="4" t="s">
        <v>75</v>
      </c>
      <c r="H102" s="1">
        <v>916</v>
      </c>
      <c r="I102" s="1">
        <v>946</v>
      </c>
      <c r="J102">
        <f t="shared" si="1"/>
        <v>946</v>
      </c>
    </row>
    <row r="103" spans="1:10" x14ac:dyDescent="0.3">
      <c r="A103" s="1" t="s">
        <v>156</v>
      </c>
      <c r="B103" s="2" t="s">
        <v>211</v>
      </c>
      <c r="C103" s="1" t="s">
        <v>212</v>
      </c>
      <c r="D103" s="1">
        <v>1</v>
      </c>
      <c r="E103" s="3">
        <v>18100</v>
      </c>
      <c r="F103" s="3"/>
      <c r="G103" s="4" t="s">
        <v>75</v>
      </c>
      <c r="H103" s="1">
        <v>916</v>
      </c>
      <c r="I103" s="1">
        <v>946</v>
      </c>
      <c r="J103">
        <f t="shared" si="1"/>
        <v>946</v>
      </c>
    </row>
    <row r="104" spans="1:10" x14ac:dyDescent="0.3">
      <c r="A104" s="1" t="s">
        <v>156</v>
      </c>
      <c r="B104" s="2" t="s">
        <v>213</v>
      </c>
      <c r="C104" s="1" t="s">
        <v>214</v>
      </c>
      <c r="D104" s="1">
        <v>1</v>
      </c>
      <c r="E104" s="3">
        <v>26100</v>
      </c>
      <c r="F104" s="3"/>
      <c r="G104" s="4" t="s">
        <v>75</v>
      </c>
      <c r="H104" s="1">
        <v>916</v>
      </c>
      <c r="I104" s="1">
        <v>946</v>
      </c>
      <c r="J104">
        <f t="shared" si="1"/>
        <v>946</v>
      </c>
    </row>
    <row r="105" spans="1:10" x14ac:dyDescent="0.3">
      <c r="A105" s="1" t="s">
        <v>8</v>
      </c>
      <c r="B105" s="2" t="s">
        <v>21</v>
      </c>
      <c r="C105" s="1" t="s">
        <v>22</v>
      </c>
      <c r="D105" s="1">
        <v>1</v>
      </c>
      <c r="E105" s="3">
        <v>15800</v>
      </c>
      <c r="F105" s="3"/>
      <c r="G105" s="4" t="s">
        <v>23</v>
      </c>
      <c r="H105" s="1">
        <v>917</v>
      </c>
      <c r="I105" s="1">
        <v>947</v>
      </c>
      <c r="J105">
        <f t="shared" si="1"/>
        <v>947</v>
      </c>
    </row>
    <row r="106" spans="1:10" x14ac:dyDescent="0.3">
      <c r="A106" s="1" t="s">
        <v>34</v>
      </c>
      <c r="B106" s="2" t="s">
        <v>35</v>
      </c>
      <c r="C106" s="1" t="s">
        <v>22</v>
      </c>
      <c r="D106" s="1">
        <v>1</v>
      </c>
      <c r="E106" s="3">
        <v>45800</v>
      </c>
      <c r="F106" s="3"/>
      <c r="G106" s="4" t="s">
        <v>23</v>
      </c>
      <c r="H106" s="1">
        <v>917</v>
      </c>
      <c r="I106" s="1">
        <v>947</v>
      </c>
      <c r="J106">
        <f t="shared" si="1"/>
        <v>947</v>
      </c>
    </row>
    <row r="107" spans="1:10" x14ac:dyDescent="0.3">
      <c r="A107" s="1" t="s">
        <v>41</v>
      </c>
      <c r="B107" s="2" t="s">
        <v>76</v>
      </c>
      <c r="C107" s="1" t="s">
        <v>77</v>
      </c>
      <c r="D107" s="1">
        <v>1</v>
      </c>
      <c r="E107" s="3">
        <v>6400</v>
      </c>
      <c r="F107" s="3"/>
      <c r="G107" s="4" t="s">
        <v>23</v>
      </c>
      <c r="H107" s="1">
        <v>917</v>
      </c>
      <c r="I107" s="1">
        <v>947</v>
      </c>
      <c r="J107">
        <f t="shared" si="1"/>
        <v>947</v>
      </c>
    </row>
    <row r="108" spans="1:10" x14ac:dyDescent="0.3">
      <c r="A108" s="1" t="s">
        <v>215</v>
      </c>
      <c r="B108" s="2" t="s">
        <v>223</v>
      </c>
      <c r="C108" s="1" t="s">
        <v>22</v>
      </c>
      <c r="D108" s="1">
        <v>1</v>
      </c>
      <c r="E108" s="3">
        <v>12500</v>
      </c>
      <c r="F108" s="3"/>
      <c r="G108" s="4" t="s">
        <v>23</v>
      </c>
      <c r="H108" s="1">
        <v>917</v>
      </c>
      <c r="I108" s="1">
        <v>947</v>
      </c>
      <c r="J108">
        <f t="shared" si="1"/>
        <v>947</v>
      </c>
    </row>
    <row r="109" spans="1:10" x14ac:dyDescent="0.3">
      <c r="A109" s="1" t="s">
        <v>228</v>
      </c>
      <c r="B109" s="2" t="s">
        <v>235</v>
      </c>
      <c r="C109" s="1" t="s">
        <v>236</v>
      </c>
      <c r="D109" s="1">
        <v>1</v>
      </c>
      <c r="E109" s="3">
        <v>483600</v>
      </c>
      <c r="F109" s="3"/>
      <c r="G109" s="4" t="s">
        <v>237</v>
      </c>
      <c r="H109" s="1">
        <v>757</v>
      </c>
      <c r="I109" s="1">
        <v>948</v>
      </c>
      <c r="J109">
        <f t="shared" si="1"/>
        <v>948</v>
      </c>
    </row>
    <row r="110" spans="1:10" x14ac:dyDescent="0.3">
      <c r="A110" s="1" t="s">
        <v>228</v>
      </c>
      <c r="B110" s="2" t="s">
        <v>238</v>
      </c>
      <c r="C110" s="1" t="s">
        <v>180</v>
      </c>
      <c r="D110" s="1">
        <v>1</v>
      </c>
      <c r="E110" s="3">
        <v>483600</v>
      </c>
      <c r="F110" s="3"/>
      <c r="G110" s="4" t="s">
        <v>237</v>
      </c>
      <c r="H110" s="1">
        <v>757</v>
      </c>
      <c r="I110" s="1">
        <v>948</v>
      </c>
      <c r="J110">
        <f t="shared" si="1"/>
        <v>948</v>
      </c>
    </row>
    <row r="111" spans="1:10" x14ac:dyDescent="0.3">
      <c r="A111" s="1" t="s">
        <v>41</v>
      </c>
      <c r="B111" s="2" t="s">
        <v>42</v>
      </c>
      <c r="C111" s="1" t="s">
        <v>43</v>
      </c>
      <c r="D111" s="1">
        <v>1</v>
      </c>
      <c r="E111" s="3">
        <v>34500</v>
      </c>
      <c r="F111" s="3"/>
      <c r="G111" s="4" t="s">
        <v>44</v>
      </c>
      <c r="H111" s="1">
        <v>903</v>
      </c>
      <c r="I111" s="1">
        <v>949</v>
      </c>
      <c r="J111">
        <f t="shared" si="1"/>
        <v>949</v>
      </c>
    </row>
    <row r="112" spans="1:10" x14ac:dyDescent="0.3">
      <c r="A112" s="1" t="s">
        <v>78</v>
      </c>
      <c r="B112" s="2" t="s">
        <v>82</v>
      </c>
      <c r="C112" s="1" t="s">
        <v>83</v>
      </c>
      <c r="D112" s="1">
        <v>1</v>
      </c>
      <c r="E112" s="3">
        <v>71200</v>
      </c>
      <c r="F112" s="3"/>
      <c r="G112" s="4" t="s">
        <v>44</v>
      </c>
      <c r="H112" s="1">
        <v>903</v>
      </c>
      <c r="I112" s="1">
        <v>949</v>
      </c>
      <c r="J112">
        <f t="shared" si="1"/>
        <v>949</v>
      </c>
    </row>
    <row r="113" spans="1:10" x14ac:dyDescent="0.3">
      <c r="A113" s="1" t="s">
        <v>118</v>
      </c>
      <c r="B113" s="2" t="s">
        <v>122</v>
      </c>
      <c r="C113" s="1" t="s">
        <v>123</v>
      </c>
      <c r="D113" s="1">
        <v>1</v>
      </c>
      <c r="E113" s="3">
        <v>96100</v>
      </c>
      <c r="F113" s="3"/>
      <c r="G113" s="4" t="s">
        <v>44</v>
      </c>
      <c r="H113" s="1">
        <v>903</v>
      </c>
      <c r="I113" s="1">
        <v>949</v>
      </c>
      <c r="J113">
        <f t="shared" si="1"/>
        <v>949</v>
      </c>
    </row>
    <row r="114" spans="1:10" x14ac:dyDescent="0.3">
      <c r="A114" s="1" t="s">
        <v>118</v>
      </c>
      <c r="B114" s="2" t="s">
        <v>124</v>
      </c>
      <c r="C114" s="1" t="s">
        <v>125</v>
      </c>
      <c r="D114" s="1">
        <v>1</v>
      </c>
      <c r="E114" s="3">
        <v>96100</v>
      </c>
      <c r="F114" s="3"/>
      <c r="G114" s="4" t="s">
        <v>44</v>
      </c>
      <c r="H114" s="1">
        <v>903</v>
      </c>
      <c r="I114" s="1">
        <v>949</v>
      </c>
      <c r="J114">
        <f t="shared" si="1"/>
        <v>949</v>
      </c>
    </row>
    <row r="115" spans="1:10" x14ac:dyDescent="0.3">
      <c r="A115" s="1" t="s">
        <v>142</v>
      </c>
      <c r="B115" s="2" t="s">
        <v>143</v>
      </c>
      <c r="C115" s="1"/>
      <c r="D115" s="1">
        <v>1</v>
      </c>
      <c r="E115" s="3">
        <v>438400</v>
      </c>
      <c r="F115" s="3"/>
      <c r="G115" s="4" t="s">
        <v>44</v>
      </c>
      <c r="H115" s="1">
        <v>903</v>
      </c>
      <c r="I115" s="1">
        <v>949</v>
      </c>
      <c r="J115">
        <f t="shared" si="1"/>
        <v>949</v>
      </c>
    </row>
    <row r="116" spans="1:10" x14ac:dyDescent="0.3">
      <c r="A116" s="1" t="s">
        <v>215</v>
      </c>
      <c r="B116" s="2" t="s">
        <v>222</v>
      </c>
      <c r="C116" s="1" t="s">
        <v>83</v>
      </c>
      <c r="D116" s="1">
        <v>1</v>
      </c>
      <c r="E116" s="3">
        <v>252700</v>
      </c>
      <c r="F116" s="3"/>
      <c r="G116" s="4" t="s">
        <v>44</v>
      </c>
      <c r="H116" s="1">
        <v>903</v>
      </c>
      <c r="I116" s="1">
        <v>949</v>
      </c>
      <c r="J116">
        <f t="shared" si="1"/>
        <v>949</v>
      </c>
    </row>
  </sheetData>
  <sortState xmlns:xlrd2="http://schemas.microsoft.com/office/spreadsheetml/2017/richdata2" ref="A2:H116">
    <sortCondition ref="G2"/>
  </sortState>
  <mergeCells count="1">
    <mergeCell ref="N26:P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2025-09-23T05:06:59Z</dcterms:created>
  <dcterms:modified xsi:type="dcterms:W3CDTF">2025-10-22T08:49:27Z</dcterms:modified>
</cp:coreProperties>
</file>